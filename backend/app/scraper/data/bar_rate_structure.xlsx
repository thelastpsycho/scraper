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ika0-my.sharepoint.com/personal/anvaya19_theanvayabali_com/Documents/BUDGET/BUDGET 2026/"/>
    </mc:Choice>
  </mc:AlternateContent>
  <xr:revisionPtr revIDLastSave="1250" documentId="13_ncr:1_{FCCD3F63-DD8B-4328-ADC7-258BE2BF40A3}" xr6:coauthVersionLast="47" xr6:coauthVersionMax="47" xr10:uidLastSave="{6213CC15-3C45-4585-8FB0-60997AA9AA2E}"/>
  <bookViews>
    <workbookView xWindow="-120" yWindow="-120" windowWidth="29040" windowHeight="17520" xr2:uid="{5137038E-BB47-4FC2-A522-6B4E7435C2CD}"/>
  </bookViews>
  <sheets>
    <sheet name="6. Rate Simulation" sheetId="13" r:id="rId1"/>
    <sheet name="7. Rate Strategy" sheetId="1" r:id="rId2"/>
    <sheet name="Sheet2" sheetId="12" r:id="rId3"/>
    <sheet name="tactical" sheetId="9" r:id="rId4"/>
    <sheet name="Sheet1" sheetId="11" r:id="rId5"/>
    <sheet name="Owner" sheetId="3" r:id="rId6"/>
  </sheets>
  <definedNames>
    <definedName name="_Fill" localSheetId="1" hidden="1">#REF!</definedName>
    <definedName name="_Fill" hidden="1">#REF!</definedName>
    <definedName name="csDesignMode">1</definedName>
    <definedName name="TaxTV">10%</definedName>
    <definedName name="TaxXL">5%</definedName>
    <definedName name="upsell" localSheetId="0">_xlfn.LAMBDA(_xlpm.HIGHER,_xlpm.LOWER,_xlpm.MARKUP, CEILING(CEILING(_xlpm.HIGHER-_xlpm.LOWER, 10000) + (CEILING(_xlpm.HIGHER-_xlpm.LOWER, 10000) * _xlpm.MARKUP), 10000))</definedName>
    <definedName name="upsell">_xlfn.LAMBDA(_xlpm.HIGHER,_xlpm.LOWER,_xlpm.MARKUP, CEILING(CEILING(_xlpm.HIGHER-_xlpm.LOWER, 10000) + (CEILING(_xlpm.HIGHER-_xlpm.LOWER, 10000) * _xlpm.MARKUP), 10000))</definedName>
    <definedName name="xx" hidden="1">#REF!</definedName>
    <definedName name="zone_saisie" localSheetId="0">#REF!,#REF!,#REF!,#REF!,#REF!</definedName>
    <definedName name="zone_saisie" localSheetId="1">#REF!,#REF!,#REF!,#REF!,#REF!</definedName>
    <definedName name="zone_saisie">#REF!,#REF!,#REF!,#REF!,#REF!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3" l="1"/>
  <c r="C11" i="13"/>
  <c r="E6" i="3" l="1"/>
  <c r="F6" i="3"/>
  <c r="G6" i="3"/>
  <c r="H6" i="3"/>
  <c r="F55" i="13"/>
  <c r="E55" i="13"/>
  <c r="D55" i="13"/>
  <c r="C55" i="13"/>
  <c r="F54" i="13"/>
  <c r="E54" i="13"/>
  <c r="D54" i="13"/>
  <c r="C54" i="13"/>
  <c r="F31" i="13"/>
  <c r="E31" i="13"/>
  <c r="D31" i="13"/>
  <c r="C31" i="13"/>
  <c r="F30" i="13"/>
  <c r="E30" i="13"/>
  <c r="D30" i="13"/>
  <c r="C30" i="13"/>
  <c r="Q22" i="13"/>
  <c r="Q21" i="13"/>
  <c r="P21" i="13"/>
  <c r="K21" i="13"/>
  <c r="J21" i="13"/>
  <c r="I21" i="13"/>
  <c r="H21" i="13"/>
  <c r="G21" i="13"/>
  <c r="F21" i="13"/>
  <c r="E21" i="13"/>
  <c r="D21" i="13"/>
  <c r="C21" i="13"/>
  <c r="Q20" i="13"/>
  <c r="P20" i="13"/>
  <c r="O20" i="13"/>
  <c r="K20" i="13"/>
  <c r="J20" i="13"/>
  <c r="I20" i="13"/>
  <c r="H20" i="13"/>
  <c r="G20" i="13"/>
  <c r="F20" i="13"/>
  <c r="E20" i="13"/>
  <c r="D20" i="13"/>
  <c r="C20" i="13"/>
  <c r="Q19" i="13"/>
  <c r="P19" i="13"/>
  <c r="O19" i="13"/>
  <c r="N19" i="13"/>
  <c r="K19" i="13"/>
  <c r="J19" i="13"/>
  <c r="I19" i="13"/>
  <c r="H19" i="13"/>
  <c r="G19" i="13"/>
  <c r="F19" i="13"/>
  <c r="E19" i="13"/>
  <c r="D19" i="13"/>
  <c r="C19" i="13"/>
  <c r="Q18" i="13"/>
  <c r="P18" i="13"/>
  <c r="N18" i="13"/>
  <c r="M18" i="13"/>
  <c r="J18" i="13"/>
  <c r="I18" i="13"/>
  <c r="H18" i="13"/>
  <c r="G18" i="13"/>
  <c r="F18" i="13"/>
  <c r="E18" i="13"/>
  <c r="D18" i="13"/>
  <c r="C18" i="13"/>
  <c r="G17" i="13"/>
  <c r="G22" i="13" s="1"/>
  <c r="F17" i="13"/>
  <c r="F22" i="13" s="1"/>
  <c r="E17" i="13"/>
  <c r="E22" i="13" s="1"/>
  <c r="D17" i="13"/>
  <c r="D22" i="13" s="1"/>
  <c r="B17" i="13"/>
  <c r="K17" i="13" s="1"/>
  <c r="K22" i="13" s="1"/>
  <c r="G16" i="13"/>
  <c r="F16" i="13"/>
  <c r="E16" i="13"/>
  <c r="D16" i="13"/>
  <c r="B16" i="13"/>
  <c r="K16" i="13" s="1"/>
  <c r="G15" i="13"/>
  <c r="F15" i="13"/>
  <c r="E15" i="13"/>
  <c r="D15" i="13"/>
  <c r="B15" i="13"/>
  <c r="K15" i="13" s="1"/>
  <c r="L14" i="13"/>
  <c r="G14" i="13"/>
  <c r="F14" i="13"/>
  <c r="E14" i="13"/>
  <c r="D14" i="13"/>
  <c r="B14" i="13"/>
  <c r="K14" i="13" s="1"/>
  <c r="G13" i="13"/>
  <c r="F13" i="13"/>
  <c r="E13" i="13"/>
  <c r="D13" i="13"/>
  <c r="B13" i="13"/>
  <c r="K13" i="13" s="1"/>
  <c r="G12" i="13"/>
  <c r="F12" i="13"/>
  <c r="E12" i="13"/>
  <c r="D12" i="13"/>
  <c r="B12" i="13"/>
  <c r="K12" i="13" s="1"/>
  <c r="G11" i="13"/>
  <c r="F11" i="13"/>
  <c r="E11" i="13"/>
  <c r="D11" i="13"/>
  <c r="B11" i="13"/>
  <c r="K11" i="13" s="1"/>
  <c r="Q10" i="13"/>
  <c r="Q17" i="13" s="1"/>
  <c r="P10" i="13"/>
  <c r="P17" i="13" s="1"/>
  <c r="P22" i="13" s="1"/>
  <c r="O10" i="13"/>
  <c r="O21" i="13" s="1"/>
  <c r="N10" i="13"/>
  <c r="N20" i="13" s="1"/>
  <c r="M10" i="13"/>
  <c r="M19" i="13" s="1"/>
  <c r="L10" i="13"/>
  <c r="L18" i="13" s="1"/>
  <c r="K10" i="13"/>
  <c r="K18" i="13" s="1"/>
  <c r="J10" i="13"/>
  <c r="I10" i="13"/>
  <c r="I17" i="13" s="1"/>
  <c r="I22" i="13" s="1"/>
  <c r="H10" i="13"/>
  <c r="H17" i="13" s="1"/>
  <c r="H22" i="13" s="1"/>
  <c r="Q9" i="13"/>
  <c r="P9" i="13"/>
  <c r="O9" i="13"/>
  <c r="L9" i="13"/>
  <c r="K9" i="13"/>
  <c r="J9" i="13"/>
  <c r="I9" i="13"/>
  <c r="N9" i="13" s="1"/>
  <c r="H9" i="13"/>
  <c r="M9" i="13" s="1"/>
  <c r="M11" i="13" l="1"/>
  <c r="M13" i="13"/>
  <c r="M14" i="13"/>
  <c r="M15" i="13"/>
  <c r="M16" i="13"/>
  <c r="M17" i="13"/>
  <c r="M22" i="13" s="1"/>
  <c r="N11" i="13"/>
  <c r="N12" i="13"/>
  <c r="N13" i="13"/>
  <c r="N14" i="13"/>
  <c r="N15" i="13"/>
  <c r="N16" i="13"/>
  <c r="N17" i="13"/>
  <c r="N22" i="13" s="1"/>
  <c r="O18" i="13"/>
  <c r="M12" i="13"/>
  <c r="O12" i="13"/>
  <c r="O13" i="13"/>
  <c r="O16" i="13"/>
  <c r="L11" i="13"/>
  <c r="L12" i="13"/>
  <c r="L13" i="13"/>
  <c r="L15" i="13"/>
  <c r="L16" i="13"/>
  <c r="L17" i="13"/>
  <c r="L22" i="13" s="1"/>
  <c r="O11" i="13"/>
  <c r="O14" i="13"/>
  <c r="O15" i="13"/>
  <c r="O17" i="13"/>
  <c r="O22" i="13" s="1"/>
  <c r="H11" i="13"/>
  <c r="P11" i="13"/>
  <c r="H12" i="13"/>
  <c r="P12" i="13"/>
  <c r="H13" i="13"/>
  <c r="P13" i="13"/>
  <c r="H14" i="13"/>
  <c r="P14" i="13"/>
  <c r="H15" i="13"/>
  <c r="P15" i="13"/>
  <c r="H16" i="13"/>
  <c r="P16" i="13"/>
  <c r="J11" i="13"/>
  <c r="J12" i="13"/>
  <c r="J14" i="13"/>
  <c r="J17" i="13"/>
  <c r="J22" i="13" s="1"/>
  <c r="L19" i="13"/>
  <c r="M20" i="13"/>
  <c r="N21" i="13"/>
  <c r="L21" i="13"/>
  <c r="I11" i="13"/>
  <c r="Q11" i="13"/>
  <c r="I12" i="13"/>
  <c r="Q12" i="13"/>
  <c r="I13" i="13"/>
  <c r="Q13" i="13"/>
  <c r="I14" i="13"/>
  <c r="Q14" i="13"/>
  <c r="I15" i="13"/>
  <c r="Q15" i="13"/>
  <c r="I16" i="13"/>
  <c r="Q16" i="13"/>
  <c r="L20" i="13"/>
  <c r="M21" i="13"/>
  <c r="J13" i="13"/>
  <c r="J15" i="13"/>
  <c r="J16" i="13"/>
  <c r="C12" i="13"/>
  <c r="C13" i="13"/>
  <c r="C14" i="13"/>
  <c r="C15" i="13"/>
  <c r="C16" i="13"/>
  <c r="C17" i="13"/>
  <c r="C22" i="13" s="1"/>
  <c r="B19" i="9"/>
  <c r="G11" i="1"/>
  <c r="H11" i="1"/>
  <c r="I11" i="1"/>
  <c r="J11" i="1"/>
  <c r="K11" i="1"/>
  <c r="L11" i="1"/>
  <c r="M11" i="1"/>
  <c r="N11" i="1"/>
  <c r="O11" i="1"/>
  <c r="P11" i="1"/>
  <c r="Q11" i="1"/>
  <c r="R11" i="1"/>
  <c r="F11" i="1"/>
  <c r="F23" i="1" s="1"/>
  <c r="G19" i="9" l="1"/>
  <c r="H19" i="9" s="1"/>
  <c r="I19" i="9" s="1"/>
  <c r="J19" i="9" s="1"/>
  <c r="C19" i="9"/>
  <c r="E19" i="9" s="1"/>
  <c r="N19" i="9"/>
  <c r="P19" i="9" s="1"/>
  <c r="Q19" i="9" s="1"/>
  <c r="D19" i="9"/>
  <c r="J17" i="3"/>
  <c r="J16" i="3"/>
  <c r="J15" i="3"/>
  <c r="J14" i="3"/>
  <c r="J13" i="3"/>
  <c r="F24" i="1" l="1"/>
  <c r="G24" i="1"/>
  <c r="H24" i="1"/>
  <c r="I24" i="1"/>
  <c r="J24" i="1"/>
  <c r="K24" i="1"/>
  <c r="L24" i="1"/>
  <c r="M24" i="1"/>
  <c r="N24" i="1"/>
  <c r="O24" i="1"/>
  <c r="P24" i="1"/>
  <c r="Q24" i="1"/>
  <c r="R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AA87" i="1"/>
  <c r="Y87" i="1"/>
  <c r="BD85" i="1"/>
  <c r="BC85" i="1"/>
  <c r="BB85" i="1"/>
  <c r="BA85" i="1"/>
  <c r="AZ85" i="1"/>
  <c r="AY85" i="1"/>
  <c r="AX85" i="1"/>
  <c r="AW85" i="1"/>
  <c r="AV85" i="1"/>
  <c r="AU85" i="1"/>
  <c r="AS85" i="1"/>
  <c r="X85" i="1"/>
  <c r="BD84" i="1"/>
  <c r="BC84" i="1"/>
  <c r="BB84" i="1"/>
  <c r="BA84" i="1"/>
  <c r="AZ84" i="1"/>
  <c r="AY84" i="1"/>
  <c r="AX84" i="1"/>
  <c r="AW84" i="1"/>
  <c r="AV84" i="1"/>
  <c r="AU84" i="1"/>
  <c r="AS84" i="1"/>
  <c r="X84" i="1"/>
  <c r="BD83" i="1"/>
  <c r="BC83" i="1"/>
  <c r="BB83" i="1"/>
  <c r="BA83" i="1"/>
  <c r="AZ83" i="1"/>
  <c r="AY83" i="1"/>
  <c r="AX83" i="1"/>
  <c r="AW83" i="1"/>
  <c r="AV83" i="1"/>
  <c r="AU83" i="1"/>
  <c r="AS83" i="1"/>
  <c r="X80" i="1"/>
  <c r="BD78" i="1"/>
  <c r="BC78" i="1"/>
  <c r="BB78" i="1"/>
  <c r="BA78" i="1"/>
  <c r="AZ78" i="1"/>
  <c r="AY78" i="1"/>
  <c r="AX78" i="1"/>
  <c r="AW78" i="1"/>
  <c r="AV78" i="1"/>
  <c r="AU78" i="1"/>
  <c r="AS78" i="1"/>
  <c r="X78" i="1"/>
  <c r="BB77" i="1"/>
  <c r="BB75" i="1"/>
  <c r="BB74" i="1"/>
  <c r="BB73" i="1"/>
  <c r="X73" i="1"/>
  <c r="BB69" i="1"/>
  <c r="BB68" i="1"/>
  <c r="BB65" i="1"/>
  <c r="BB64" i="1"/>
  <c r="BB61" i="1"/>
  <c r="X49" i="1"/>
  <c r="I48" i="1"/>
  <c r="H48" i="1"/>
  <c r="G48" i="1"/>
  <c r="I47" i="1"/>
  <c r="H47" i="1"/>
  <c r="G47" i="1"/>
  <c r="I46" i="1"/>
  <c r="H46" i="1"/>
  <c r="G46" i="1"/>
  <c r="I45" i="1"/>
  <c r="H45" i="1"/>
  <c r="G45" i="1"/>
  <c r="BB42" i="1"/>
  <c r="X41" i="1"/>
  <c r="L40" i="1"/>
  <c r="R40" i="1" s="1"/>
  <c r="K40" i="1"/>
  <c r="Q40" i="1" s="1"/>
  <c r="J40" i="1"/>
  <c r="P40" i="1" s="1"/>
  <c r="I40" i="1"/>
  <c r="N40" i="1" s="1"/>
  <c r="H40" i="1"/>
  <c r="O40" i="1" s="1"/>
  <c r="G40" i="1"/>
  <c r="M40" i="1" s="1"/>
  <c r="L39" i="1"/>
  <c r="R39" i="1" s="1"/>
  <c r="K39" i="1"/>
  <c r="Q39" i="1" s="1"/>
  <c r="J39" i="1"/>
  <c r="P39" i="1" s="1"/>
  <c r="I39" i="1"/>
  <c r="N39" i="1" s="1"/>
  <c r="H39" i="1"/>
  <c r="O39" i="1" s="1"/>
  <c r="G39" i="1"/>
  <c r="M39" i="1" s="1"/>
  <c r="L38" i="1"/>
  <c r="R38" i="1" s="1"/>
  <c r="K38" i="1"/>
  <c r="Q38" i="1" s="1"/>
  <c r="J38" i="1"/>
  <c r="P38" i="1" s="1"/>
  <c r="I38" i="1"/>
  <c r="N38" i="1" s="1"/>
  <c r="H38" i="1"/>
  <c r="O38" i="1" s="1"/>
  <c r="G38" i="1"/>
  <c r="M38" i="1" s="1"/>
  <c r="L37" i="1"/>
  <c r="R37" i="1" s="1"/>
  <c r="K37" i="1"/>
  <c r="Q37" i="1" s="1"/>
  <c r="J37" i="1"/>
  <c r="P37" i="1" s="1"/>
  <c r="I37" i="1"/>
  <c r="N37" i="1" s="1"/>
  <c r="H37" i="1"/>
  <c r="O37" i="1" s="1"/>
  <c r="G37" i="1"/>
  <c r="M37" i="1" s="1"/>
  <c r="BB33" i="1"/>
  <c r="X32" i="1"/>
  <c r="Q27" i="1"/>
  <c r="N27" i="1"/>
  <c r="O27" i="1"/>
  <c r="M27" i="1"/>
  <c r="L27" i="1"/>
  <c r="K27" i="1"/>
  <c r="J27" i="1"/>
  <c r="I27" i="1"/>
  <c r="H27" i="1"/>
  <c r="G27" i="1"/>
  <c r="BB20" i="1"/>
  <c r="V19" i="1"/>
  <c r="X16" i="1"/>
  <c r="V16" i="1"/>
  <c r="AO15" i="1"/>
  <c r="AO75" i="1" s="1"/>
  <c r="AN15" i="1"/>
  <c r="AN19" i="1" s="1"/>
  <c r="BC19" i="1" s="1"/>
  <c r="AM15" i="1"/>
  <c r="AM16" i="1" s="1"/>
  <c r="BB16" i="1" s="1"/>
  <c r="AL15" i="1"/>
  <c r="AL73" i="1" s="1"/>
  <c r="BA73" i="1" s="1"/>
  <c r="AK15" i="1"/>
  <c r="AK16" i="1" s="1"/>
  <c r="AZ16" i="1" s="1"/>
  <c r="AJ15" i="1"/>
  <c r="AJ71" i="1" s="1"/>
  <c r="AY71" i="1" s="1"/>
  <c r="AI15" i="1"/>
  <c r="AI22" i="1" s="1"/>
  <c r="AX22" i="1" s="1"/>
  <c r="AH15" i="1"/>
  <c r="AH29" i="1" s="1"/>
  <c r="AG15" i="1"/>
  <c r="AG58" i="1" s="1"/>
  <c r="AV58" i="1" s="1"/>
  <c r="AF15" i="1"/>
  <c r="AF16" i="1" s="1"/>
  <c r="AU16" i="1" s="1"/>
  <c r="AE15" i="1"/>
  <c r="AE33" i="1" s="1"/>
  <c r="AD15" i="1"/>
  <c r="AD22" i="1" s="1"/>
  <c r="AC15" i="1"/>
  <c r="AC57" i="1" s="1"/>
  <c r="AP14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R16" i="1"/>
  <c r="Q16" i="1"/>
  <c r="P16" i="1"/>
  <c r="N17" i="1"/>
  <c r="O16" i="1"/>
  <c r="M17" i="1"/>
  <c r="L17" i="1"/>
  <c r="K17" i="1"/>
  <c r="J16" i="1"/>
  <c r="I16" i="1"/>
  <c r="H16" i="1"/>
  <c r="G16" i="1"/>
  <c r="F16" i="1"/>
  <c r="AO10" i="1"/>
  <c r="BD10" i="1" s="1"/>
  <c r="AN10" i="1"/>
  <c r="BC10" i="1" s="1"/>
  <c r="AM10" i="1"/>
  <c r="BB10" i="1" s="1"/>
  <c r="AL10" i="1"/>
  <c r="BA10" i="1" s="1"/>
  <c r="AK10" i="1"/>
  <c r="AZ10" i="1" s="1"/>
  <c r="AJ10" i="1"/>
  <c r="AY10" i="1" s="1"/>
  <c r="AI10" i="1"/>
  <c r="AX10" i="1" s="1"/>
  <c r="AH10" i="1"/>
  <c r="AW10" i="1" s="1"/>
  <c r="AG10" i="1"/>
  <c r="AV10" i="1" s="1"/>
  <c r="AF10" i="1"/>
  <c r="AU10" i="1" s="1"/>
  <c r="AE10" i="1"/>
  <c r="AT10" i="1" s="1"/>
  <c r="AD10" i="1"/>
  <c r="AS10" i="1" s="1"/>
  <c r="AC10" i="1"/>
  <c r="AR10" i="1" s="1"/>
  <c r="AK21" i="1"/>
  <c r="AZ21" i="1" s="1"/>
  <c r="Z87" i="1"/>
  <c r="AK73" i="1"/>
  <c r="AZ73" i="1" s="1"/>
  <c r="AK69" i="1"/>
  <c r="BH87" i="1"/>
  <c r="AK26" i="1" l="1"/>
  <c r="AZ26" i="1" s="1"/>
  <c r="AK71" i="1"/>
  <c r="AZ71" i="1" s="1"/>
  <c r="F30" i="1"/>
  <c r="F28" i="1"/>
  <c r="B7" i="9" s="1"/>
  <c r="F29" i="1"/>
  <c r="N30" i="1"/>
  <c r="H30" i="1"/>
  <c r="K28" i="1"/>
  <c r="B12" i="9" s="1"/>
  <c r="AC59" i="1"/>
  <c r="AR59" i="1" s="1"/>
  <c r="AK25" i="1"/>
  <c r="AZ25" i="1" s="1"/>
  <c r="AK74" i="1"/>
  <c r="AL33" i="1"/>
  <c r="AD49" i="1"/>
  <c r="AC73" i="1"/>
  <c r="AR73" i="1" s="1"/>
  <c r="AD42" i="1"/>
  <c r="AK80" i="1"/>
  <c r="AK65" i="1"/>
  <c r="AD33" i="1"/>
  <c r="AD52" i="1"/>
  <c r="AZ69" i="1" s="1"/>
  <c r="AI33" i="1"/>
  <c r="AD57" i="1"/>
  <c r="R23" i="1"/>
  <c r="J23" i="1"/>
  <c r="J30" i="1" s="1"/>
  <c r="N22" i="1"/>
  <c r="R21" i="1"/>
  <c r="J21" i="1"/>
  <c r="N20" i="1"/>
  <c r="R19" i="1"/>
  <c r="J19" i="1"/>
  <c r="N18" i="1"/>
  <c r="R17" i="1"/>
  <c r="J17" i="1"/>
  <c r="N16" i="1"/>
  <c r="F22" i="1"/>
  <c r="Q23" i="1"/>
  <c r="I23" i="1"/>
  <c r="I29" i="1" s="1"/>
  <c r="M22" i="1"/>
  <c r="Q21" i="1"/>
  <c r="I21" i="1"/>
  <c r="M20" i="1"/>
  <c r="Q19" i="1"/>
  <c r="I19" i="1"/>
  <c r="M18" i="1"/>
  <c r="Q17" i="1"/>
  <c r="I17" i="1"/>
  <c r="M16" i="1"/>
  <c r="F21" i="1"/>
  <c r="P23" i="1"/>
  <c r="H23" i="1"/>
  <c r="H29" i="1" s="1"/>
  <c r="L22" i="1"/>
  <c r="L30" i="1" s="1"/>
  <c r="P21" i="1"/>
  <c r="H21" i="1"/>
  <c r="L20" i="1"/>
  <c r="P19" i="1"/>
  <c r="H19" i="1"/>
  <c r="L18" i="1"/>
  <c r="P17" i="1"/>
  <c r="H17" i="1"/>
  <c r="L16" i="1"/>
  <c r="F20" i="1"/>
  <c r="O23" i="1"/>
  <c r="G23" i="1"/>
  <c r="G30" i="1" s="1"/>
  <c r="K22" i="1"/>
  <c r="O21" i="1"/>
  <c r="G21" i="1"/>
  <c r="K20" i="1"/>
  <c r="O19" i="1"/>
  <c r="G19" i="1"/>
  <c r="K18" i="1"/>
  <c r="O17" i="1"/>
  <c r="G17" i="1"/>
  <c r="K16" i="1"/>
  <c r="F19" i="1"/>
  <c r="N23" i="1"/>
  <c r="N29" i="1" s="1"/>
  <c r="R22" i="1"/>
  <c r="J22" i="1"/>
  <c r="N21" i="1"/>
  <c r="R20" i="1"/>
  <c r="J20" i="1"/>
  <c r="N19" i="1"/>
  <c r="R18" i="1"/>
  <c r="J18" i="1"/>
  <c r="F18" i="1"/>
  <c r="M23" i="1"/>
  <c r="Q22" i="1"/>
  <c r="I22" i="1"/>
  <c r="M21" i="1"/>
  <c r="Q20" i="1"/>
  <c r="I20" i="1"/>
  <c r="M19" i="1"/>
  <c r="Q18" i="1"/>
  <c r="I18" i="1"/>
  <c r="F17" i="1"/>
  <c r="L23" i="1"/>
  <c r="P22" i="1"/>
  <c r="H22" i="1"/>
  <c r="L21" i="1"/>
  <c r="P20" i="1"/>
  <c r="H20" i="1"/>
  <c r="L19" i="1"/>
  <c r="P18" i="1"/>
  <c r="H18" i="1"/>
  <c r="K23" i="1"/>
  <c r="K29" i="1" s="1"/>
  <c r="O22" i="1"/>
  <c r="O30" i="1" s="1"/>
  <c r="G22" i="1"/>
  <c r="K21" i="1"/>
  <c r="O20" i="1"/>
  <c r="G20" i="1"/>
  <c r="K19" i="1"/>
  <c r="O18" i="1"/>
  <c r="G18" i="1"/>
  <c r="AE26" i="1"/>
  <c r="AT26" i="1" s="1"/>
  <c r="AD35" i="1"/>
  <c r="AS35" i="1" s="1"/>
  <c r="AD77" i="1"/>
  <c r="AS77" i="1" s="1"/>
  <c r="AD40" i="1"/>
  <c r="AS40" i="1" s="1"/>
  <c r="AD80" i="1"/>
  <c r="AD25" i="1"/>
  <c r="AS25" i="1" s="1"/>
  <c r="AD32" i="1"/>
  <c r="AS32" i="1" s="1"/>
  <c r="AD64" i="1"/>
  <c r="AM86" i="1"/>
  <c r="BB86" i="1" s="1"/>
  <c r="AN75" i="1"/>
  <c r="AE46" i="1"/>
  <c r="AT46" i="1" s="1"/>
  <c r="AF26" i="1"/>
  <c r="AU26" i="1" s="1"/>
  <c r="AN25" i="1"/>
  <c r="BC25" i="1" s="1"/>
  <c r="AE80" i="1"/>
  <c r="AF46" i="1"/>
  <c r="AU46" i="1" s="1"/>
  <c r="AN42" i="1"/>
  <c r="AF51" i="1"/>
  <c r="AU51" i="1" s="1"/>
  <c r="AM25" i="1"/>
  <c r="BB25" i="1" s="1"/>
  <c r="AE47" i="1"/>
  <c r="AT47" i="1" s="1"/>
  <c r="AF71" i="1"/>
  <c r="AU71" i="1" s="1"/>
  <c r="AH73" i="1"/>
  <c r="AW73" i="1" s="1"/>
  <c r="AE34" i="1"/>
  <c r="AF69" i="1"/>
  <c r="AU69" i="1" s="1"/>
  <c r="AE35" i="1"/>
  <c r="AT35" i="1" s="1"/>
  <c r="AE70" i="1"/>
  <c r="AT70" i="1" s="1"/>
  <c r="AM22" i="1"/>
  <c r="BB22" i="1" s="1"/>
  <c r="AL57" i="1"/>
  <c r="AF23" i="1"/>
  <c r="AU23" i="1" s="1"/>
  <c r="AE37" i="1"/>
  <c r="AT37" i="1" s="1"/>
  <c r="AE48" i="1"/>
  <c r="AT48" i="1" s="1"/>
  <c r="AE61" i="1"/>
  <c r="AL58" i="1"/>
  <c r="BA58" i="1" s="1"/>
  <c r="AE28" i="1"/>
  <c r="AE86" i="1"/>
  <c r="AT86" i="1" s="1"/>
  <c r="AE25" i="1"/>
  <c r="AT25" i="1" s="1"/>
  <c r="AE18" i="1"/>
  <c r="AT18" i="1" s="1"/>
  <c r="AF86" i="1"/>
  <c r="AU86" i="1" s="1"/>
  <c r="AG34" i="1"/>
  <c r="AF41" i="1"/>
  <c r="AU41" i="1" s="1"/>
  <c r="AE52" i="1"/>
  <c r="AT52" i="1" s="1"/>
  <c r="AE64" i="1"/>
  <c r="AT64" i="1" s="1"/>
  <c r="AL80" i="1"/>
  <c r="AF28" i="1"/>
  <c r="AG40" i="1"/>
  <c r="AV40" i="1" s="1"/>
  <c r="AF58" i="1"/>
  <c r="AU58" i="1" s="1"/>
  <c r="AL45" i="1"/>
  <c r="BA45" i="1" s="1"/>
  <c r="AM39" i="1"/>
  <c r="BB39" i="1" s="1"/>
  <c r="AE30" i="1"/>
  <c r="AE57" i="1"/>
  <c r="AE65" i="1"/>
  <c r="AL34" i="1"/>
  <c r="AE59" i="1"/>
  <c r="AT59" i="1" s="1"/>
  <c r="AL51" i="1"/>
  <c r="BA51" i="1" s="1"/>
  <c r="AF36" i="1"/>
  <c r="AU36" i="1" s="1"/>
  <c r="AF22" i="1"/>
  <c r="AU22" i="1" s="1"/>
  <c r="AE71" i="1"/>
  <c r="AT71" i="1" s="1"/>
  <c r="AF37" i="1"/>
  <c r="AU37" i="1" s="1"/>
  <c r="AF70" i="1"/>
  <c r="AU70" i="1" s="1"/>
  <c r="AE44" i="1"/>
  <c r="AT44" i="1" s="1"/>
  <c r="AG65" i="1"/>
  <c r="AF49" i="1"/>
  <c r="AF29" i="1"/>
  <c r="AM52" i="1"/>
  <c r="BB52" i="1" s="1"/>
  <c r="AE50" i="1"/>
  <c r="AT50" i="1" s="1"/>
  <c r="AE69" i="1"/>
  <c r="AT69" i="1" s="1"/>
  <c r="AE85" i="1"/>
  <c r="AL44" i="1"/>
  <c r="BA44" i="1" s="1"/>
  <c r="AE23" i="1"/>
  <c r="AT23" i="1" s="1"/>
  <c r="AG51" i="1"/>
  <c r="AV51" i="1" s="1"/>
  <c r="AN47" i="1"/>
  <c r="BC47" i="1" s="1"/>
  <c r="AF65" i="1"/>
  <c r="AM57" i="1"/>
  <c r="AE49" i="1"/>
  <c r="AE77" i="1"/>
  <c r="AT77" i="1" s="1"/>
  <c r="AL32" i="1"/>
  <c r="BA32" i="1" s="1"/>
  <c r="AI71" i="1"/>
  <c r="AX71" i="1" s="1"/>
  <c r="AG35" i="1"/>
  <c r="AV35" i="1" s="1"/>
  <c r="AM40" i="1"/>
  <c r="BB40" i="1" s="1"/>
  <c r="AC68" i="1"/>
  <c r="AR68" i="1" s="1"/>
  <c r="AO23" i="1"/>
  <c r="BD23" i="1" s="1"/>
  <c r="AI42" i="1"/>
  <c r="AG23" i="1"/>
  <c r="AV23" i="1" s="1"/>
  <c r="AG71" i="1"/>
  <c r="AV71" i="1" s="1"/>
  <c r="AI30" i="1"/>
  <c r="AM26" i="1"/>
  <c r="BB26" i="1" s="1"/>
  <c r="AM17" i="1"/>
  <c r="BB17" i="1" s="1"/>
  <c r="AC26" i="1"/>
  <c r="AR26" i="1" s="1"/>
  <c r="AI51" i="1"/>
  <c r="AX51" i="1" s="1"/>
  <c r="AO70" i="1"/>
  <c r="BD70" i="1" s="1"/>
  <c r="AI68" i="1"/>
  <c r="AX68" i="1" s="1"/>
  <c r="AM46" i="1"/>
  <c r="BB46" i="1" s="1"/>
  <c r="AJ68" i="1"/>
  <c r="AY68" i="1" s="1"/>
  <c r="AJ80" i="1"/>
  <c r="AJ42" i="1"/>
  <c r="AI34" i="1"/>
  <c r="AC29" i="1"/>
  <c r="AJ37" i="1"/>
  <c r="AY37" i="1" s="1"/>
  <c r="AI58" i="1"/>
  <c r="AX58" i="1" s="1"/>
  <c r="AO77" i="1"/>
  <c r="BD77" i="1" s="1"/>
  <c r="AJ30" i="1"/>
  <c r="AI21" i="1"/>
  <c r="AX21" i="1" s="1"/>
  <c r="AE17" i="1"/>
  <c r="AT17" i="1" s="1"/>
  <c r="AL24" i="1"/>
  <c r="BA24" i="1" s="1"/>
  <c r="AE45" i="1"/>
  <c r="AT45" i="1" s="1"/>
  <c r="AE40" i="1"/>
  <c r="AT40" i="1" s="1"/>
  <c r="AE76" i="1"/>
  <c r="AT76" i="1" s="1"/>
  <c r="AE84" i="1"/>
  <c r="AL50" i="1"/>
  <c r="BA50" i="1" s="1"/>
  <c r="AI18" i="1"/>
  <c r="AX18" i="1" s="1"/>
  <c r="AC69" i="1"/>
  <c r="AR69" i="1" s="1"/>
  <c r="AI17" i="1"/>
  <c r="AX17" i="1" s="1"/>
  <c r="AJ59" i="1"/>
  <c r="AY59" i="1" s="1"/>
  <c r="AI47" i="1"/>
  <c r="AX47" i="1" s="1"/>
  <c r="AI29" i="1"/>
  <c r="AI65" i="1"/>
  <c r="AL20" i="1"/>
  <c r="BA20" i="1" s="1"/>
  <c r="AJ29" i="1"/>
  <c r="AJ33" i="1"/>
  <c r="AI76" i="1"/>
  <c r="AX76" i="1" s="1"/>
  <c r="AC34" i="1"/>
  <c r="AE36" i="1"/>
  <c r="AT36" i="1" s="1"/>
  <c r="AE32" i="1"/>
  <c r="AT32" i="1" s="1"/>
  <c r="AE60" i="1"/>
  <c r="AT60" i="1" s="1"/>
  <c r="AE73" i="1"/>
  <c r="AT73" i="1" s="1"/>
  <c r="AE68" i="1"/>
  <c r="AT68" i="1" s="1"/>
  <c r="AE22" i="1"/>
  <c r="AT22" i="1" s="1"/>
  <c r="AL41" i="1"/>
  <c r="BA41" i="1" s="1"/>
  <c r="AL77" i="1"/>
  <c r="BA77" i="1" s="1"/>
  <c r="AE42" i="1"/>
  <c r="AJ36" i="1"/>
  <c r="AY36" i="1" s="1"/>
  <c r="AJ74" i="1"/>
  <c r="AI35" i="1"/>
  <c r="AX35" i="1" s="1"/>
  <c r="AI70" i="1"/>
  <c r="AX70" i="1" s="1"/>
  <c r="AE21" i="1"/>
  <c r="AT21" i="1" s="1"/>
  <c r="AJ47" i="1"/>
  <c r="AY47" i="1" s="1"/>
  <c r="AJ21" i="1"/>
  <c r="AY21" i="1" s="1"/>
  <c r="AJ20" i="1"/>
  <c r="AY20" i="1" s="1"/>
  <c r="AI57" i="1"/>
  <c r="AI25" i="1"/>
  <c r="AX25" i="1" s="1"/>
  <c r="AI36" i="1"/>
  <c r="AX36" i="1" s="1"/>
  <c r="AO45" i="1"/>
  <c r="BD45" i="1" s="1"/>
  <c r="AE24" i="1"/>
  <c r="AT24" i="1" s="1"/>
  <c r="AJ28" i="1"/>
  <c r="AI20" i="1"/>
  <c r="AX20" i="1" s="1"/>
  <c r="AE38" i="1"/>
  <c r="AT38" i="1" s="1"/>
  <c r="AE41" i="1"/>
  <c r="AT41" i="1" s="1"/>
  <c r="AE51" i="1"/>
  <c r="AT51" i="1" s="1"/>
  <c r="AE74" i="1"/>
  <c r="AE72" i="1"/>
  <c r="AT72" i="1" s="1"/>
  <c r="AJ18" i="1"/>
  <c r="AY18" i="1" s="1"/>
  <c r="AI24" i="1"/>
  <c r="AX24" i="1" s="1"/>
  <c r="AJ48" i="1"/>
  <c r="AY48" i="1" s="1"/>
  <c r="AJ77" i="1"/>
  <c r="AY77" i="1" s="1"/>
  <c r="AI37" i="1"/>
  <c r="AX37" i="1" s="1"/>
  <c r="AI49" i="1"/>
  <c r="AI80" i="1"/>
  <c r="AE16" i="1"/>
  <c r="AT16" i="1" s="1"/>
  <c r="AJ69" i="1"/>
  <c r="AY69" i="1" s="1"/>
  <c r="AJ75" i="1"/>
  <c r="AI77" i="1"/>
  <c r="AX77" i="1" s="1"/>
  <c r="AO65" i="1"/>
  <c r="AE39" i="1"/>
  <c r="AT39" i="1" s="1"/>
  <c r="AE58" i="1"/>
  <c r="AT58" i="1" s="1"/>
  <c r="AE78" i="1"/>
  <c r="AE75" i="1"/>
  <c r="AE83" i="1"/>
  <c r="AI28" i="1"/>
  <c r="AL72" i="1"/>
  <c r="BA72" i="1" s="1"/>
  <c r="AJ23" i="1"/>
  <c r="AY23" i="1" s="1"/>
  <c r="AJ61" i="1"/>
  <c r="AI41" i="1"/>
  <c r="AX41" i="1" s="1"/>
  <c r="AI44" i="1"/>
  <c r="AX44" i="1" s="1"/>
  <c r="AI64" i="1"/>
  <c r="AX64" i="1" s="1"/>
  <c r="AE20" i="1"/>
  <c r="AT20" i="1" s="1"/>
  <c r="AE19" i="1"/>
  <c r="AT19" i="1" s="1"/>
  <c r="AN28" i="1"/>
  <c r="AH80" i="1"/>
  <c r="AH77" i="1"/>
  <c r="AW77" i="1" s="1"/>
  <c r="AN45" i="1"/>
  <c r="BC45" i="1" s="1"/>
  <c r="AN60" i="1"/>
  <c r="BC60" i="1" s="1"/>
  <c r="AJ17" i="1"/>
  <c r="AY17" i="1" s="1"/>
  <c r="AJ38" i="1"/>
  <c r="AY38" i="1" s="1"/>
  <c r="AJ76" i="1"/>
  <c r="AY76" i="1" s="1"/>
  <c r="AC24" i="1"/>
  <c r="AR24" i="1" s="1"/>
  <c r="AJ25" i="1"/>
  <c r="AY25" i="1" s="1"/>
  <c r="AK19" i="1"/>
  <c r="AZ19" i="1" s="1"/>
  <c r="AN40" i="1"/>
  <c r="BC40" i="1" s="1"/>
  <c r="AN50" i="1"/>
  <c r="BC50" i="1" s="1"/>
  <c r="AK60" i="1"/>
  <c r="AZ60" i="1" s="1"/>
  <c r="AD38" i="1"/>
  <c r="AS38" i="1" s="1"/>
  <c r="AD70" i="1"/>
  <c r="AS70" i="1" s="1"/>
  <c r="AD68" i="1"/>
  <c r="AS68" i="1" s="1"/>
  <c r="AJ24" i="1"/>
  <c r="AY24" i="1" s="1"/>
  <c r="AK32" i="1"/>
  <c r="AZ32" i="1" s="1"/>
  <c r="AC41" i="1"/>
  <c r="AR41" i="1" s="1"/>
  <c r="AC76" i="1"/>
  <c r="AR76" i="1" s="1"/>
  <c r="AJ40" i="1"/>
  <c r="AY40" i="1" s="1"/>
  <c r="AJ52" i="1"/>
  <c r="AY52" i="1" s="1"/>
  <c r="AC39" i="1"/>
  <c r="AR39" i="1" s="1"/>
  <c r="AI50" i="1"/>
  <c r="AX50" i="1" s="1"/>
  <c r="AI38" i="1"/>
  <c r="AX38" i="1" s="1"/>
  <c r="AI48" i="1"/>
  <c r="AX48" i="1" s="1"/>
  <c r="AI69" i="1"/>
  <c r="AX69" i="1" s="1"/>
  <c r="AN72" i="1"/>
  <c r="BC72" i="1" s="1"/>
  <c r="AN58" i="1"/>
  <c r="BC58" i="1" s="1"/>
  <c r="AO52" i="1"/>
  <c r="BD52" i="1" s="1"/>
  <c r="AN64" i="1"/>
  <c r="BC64" i="1" s="1"/>
  <c r="AJ46" i="1"/>
  <c r="AY46" i="1" s="1"/>
  <c r="AJ65" i="1"/>
  <c r="AN35" i="1"/>
  <c r="BC35" i="1" s="1"/>
  <c r="AJ86" i="1"/>
  <c r="AY86" i="1" s="1"/>
  <c r="AI46" i="1"/>
  <c r="AX46" i="1" s="1"/>
  <c r="AI73" i="1"/>
  <c r="AX73" i="1" s="1"/>
  <c r="AN29" i="1"/>
  <c r="AO61" i="1"/>
  <c r="AI16" i="1"/>
  <c r="AX16" i="1" s="1"/>
  <c r="AO76" i="1"/>
  <c r="BD76" i="1" s="1"/>
  <c r="AN44" i="1"/>
  <c r="BC44" i="1" s="1"/>
  <c r="AN71" i="1"/>
  <c r="BC71" i="1" s="1"/>
  <c r="AC44" i="1"/>
  <c r="AR44" i="1" s="1"/>
  <c r="AJ19" i="1"/>
  <c r="AY19" i="1" s="1"/>
  <c r="AD39" i="1"/>
  <c r="AS39" i="1" s="1"/>
  <c r="AD76" i="1"/>
  <c r="AS76" i="1" s="1"/>
  <c r="AD73" i="1"/>
  <c r="AS73" i="1" s="1"/>
  <c r="AK47" i="1"/>
  <c r="AZ47" i="1" s="1"/>
  <c r="AC50" i="1"/>
  <c r="AR50" i="1" s="1"/>
  <c r="AJ41" i="1"/>
  <c r="AY41" i="1" s="1"/>
  <c r="AJ45" i="1"/>
  <c r="AY45" i="1" s="1"/>
  <c r="AJ57" i="1"/>
  <c r="AJ72" i="1"/>
  <c r="AY72" i="1" s="1"/>
  <c r="AI23" i="1"/>
  <c r="AX23" i="1" s="1"/>
  <c r="AI45" i="1"/>
  <c r="AX45" i="1" s="1"/>
  <c r="AI39" i="1"/>
  <c r="AX39" i="1" s="1"/>
  <c r="AI60" i="1"/>
  <c r="AX60" i="1" s="1"/>
  <c r="AI74" i="1"/>
  <c r="AJ64" i="1"/>
  <c r="AY64" i="1" s="1"/>
  <c r="AD21" i="1"/>
  <c r="AS21" i="1" s="1"/>
  <c r="AN61" i="1"/>
  <c r="AN34" i="1"/>
  <c r="AJ26" i="1"/>
  <c r="AY26" i="1" s="1"/>
  <c r="AJ51" i="1"/>
  <c r="AY51" i="1" s="1"/>
  <c r="AO32" i="1"/>
  <c r="BD32" i="1" s="1"/>
  <c r="AC71" i="1"/>
  <c r="AR71" i="1" s="1"/>
  <c r="AJ32" i="1"/>
  <c r="AY32" i="1" s="1"/>
  <c r="AJ70" i="1"/>
  <c r="AY70" i="1" s="1"/>
  <c r="AI59" i="1"/>
  <c r="AX59" i="1" s="1"/>
  <c r="AI86" i="1"/>
  <c r="AX86" i="1" s="1"/>
  <c r="AO46" i="1"/>
  <c r="BD46" i="1" s="1"/>
  <c r="AN30" i="1"/>
  <c r="AN74" i="1"/>
  <c r="AC38" i="1"/>
  <c r="AR38" i="1" s="1"/>
  <c r="AC18" i="1"/>
  <c r="AR18" i="1" s="1"/>
  <c r="AI32" i="1"/>
  <c r="AX32" i="1" s="1"/>
  <c r="AI19" i="1"/>
  <c r="AX19" i="1" s="1"/>
  <c r="AD48" i="1"/>
  <c r="AS48" i="1" s="1"/>
  <c r="AN21" i="1"/>
  <c r="BC21" i="1" s="1"/>
  <c r="AK58" i="1"/>
  <c r="AZ58" i="1" s="1"/>
  <c r="AI26" i="1"/>
  <c r="AX26" i="1" s="1"/>
  <c r="AJ34" i="1"/>
  <c r="AJ44" i="1"/>
  <c r="AY44" i="1" s="1"/>
  <c r="AJ49" i="1"/>
  <c r="AI72" i="1"/>
  <c r="AX72" i="1" s="1"/>
  <c r="AI40" i="1"/>
  <c r="AX40" i="1" s="1"/>
  <c r="AI52" i="1"/>
  <c r="AX52" i="1" s="1"/>
  <c r="AI61" i="1"/>
  <c r="AI75" i="1"/>
  <c r="AK48" i="1"/>
  <c r="AZ48" i="1" s="1"/>
  <c r="AF38" i="1"/>
  <c r="AU38" i="1" s="1"/>
  <c r="AF25" i="1"/>
  <c r="AU25" i="1" s="1"/>
  <c r="AO34" i="1"/>
  <c r="AO59" i="1"/>
  <c r="BD59" i="1" s="1"/>
  <c r="AG47" i="1"/>
  <c r="AV47" i="1" s="1"/>
  <c r="AG30" i="1"/>
  <c r="AG75" i="1"/>
  <c r="AN37" i="1"/>
  <c r="BC37" i="1" s="1"/>
  <c r="AN32" i="1"/>
  <c r="BC32" i="1" s="1"/>
  <c r="AN59" i="1"/>
  <c r="BC59" i="1" s="1"/>
  <c r="AN48" i="1"/>
  <c r="BC48" i="1" s="1"/>
  <c r="AN77" i="1"/>
  <c r="BC77" i="1" s="1"/>
  <c r="AF39" i="1"/>
  <c r="AU39" i="1" s="1"/>
  <c r="AF60" i="1"/>
  <c r="AU60" i="1" s="1"/>
  <c r="AF64" i="1"/>
  <c r="AU64" i="1" s="1"/>
  <c r="AF75" i="1"/>
  <c r="AM41" i="1"/>
  <c r="BB41" i="1" s="1"/>
  <c r="AO19" i="1"/>
  <c r="BD19" i="1" s="1"/>
  <c r="AF20" i="1"/>
  <c r="AU20" i="1" s="1"/>
  <c r="AN49" i="1"/>
  <c r="AN76" i="1"/>
  <c r="BC76" i="1" s="1"/>
  <c r="AF59" i="1"/>
  <c r="AU59" i="1" s="1"/>
  <c r="AF74" i="1"/>
  <c r="AM72" i="1"/>
  <c r="BB72" i="1" s="1"/>
  <c r="AN20" i="1"/>
  <c r="BC20" i="1" s="1"/>
  <c r="AO36" i="1"/>
  <c r="BD36" i="1" s="1"/>
  <c r="AG33" i="1"/>
  <c r="AG48" i="1"/>
  <c r="AV48" i="1" s="1"/>
  <c r="AG70" i="1"/>
  <c r="AV70" i="1" s="1"/>
  <c r="AN46" i="1"/>
  <c r="BC46" i="1" s="1"/>
  <c r="AN80" i="1"/>
  <c r="AN68" i="1"/>
  <c r="BC68" i="1" s="1"/>
  <c r="AF45" i="1"/>
  <c r="AU45" i="1" s="1"/>
  <c r="AF40" i="1"/>
  <c r="AU40" i="1" s="1"/>
  <c r="AF48" i="1"/>
  <c r="AU48" i="1" s="1"/>
  <c r="AF76" i="1"/>
  <c r="AU76" i="1" s="1"/>
  <c r="AM23" i="1"/>
  <c r="BB23" i="1" s="1"/>
  <c r="AM45" i="1"/>
  <c r="BB45" i="1" s="1"/>
  <c r="AM50" i="1"/>
  <c r="BB50" i="1" s="1"/>
  <c r="AH20" i="1"/>
  <c r="AW20" i="1" s="1"/>
  <c r="AH45" i="1"/>
  <c r="AW45" i="1" s="1"/>
  <c r="AN18" i="1"/>
  <c r="BC18" i="1" s="1"/>
  <c r="AF57" i="1"/>
  <c r="X87" i="1"/>
  <c r="AG74" i="1"/>
  <c r="AN36" i="1"/>
  <c r="BC36" i="1" s="1"/>
  <c r="AF73" i="1"/>
  <c r="AU73" i="1" s="1"/>
  <c r="AN33" i="1"/>
  <c r="AF19" i="1"/>
  <c r="AU19" i="1" s="1"/>
  <c r="AN17" i="1"/>
  <c r="BC17" i="1" s="1"/>
  <c r="AN38" i="1"/>
  <c r="BC38" i="1" s="1"/>
  <c r="AN73" i="1"/>
  <c r="BC73" i="1" s="1"/>
  <c r="AN52" i="1"/>
  <c r="BC52" i="1" s="1"/>
  <c r="AF33" i="1"/>
  <c r="AF34" i="1"/>
  <c r="AF44" i="1"/>
  <c r="AU44" i="1" s="1"/>
  <c r="AF68" i="1"/>
  <c r="AU68" i="1" s="1"/>
  <c r="AF52" i="1"/>
  <c r="AU52" i="1" s="1"/>
  <c r="AF77" i="1"/>
  <c r="AU77" i="1" s="1"/>
  <c r="AM34" i="1"/>
  <c r="AG20" i="1"/>
  <c r="AV20" i="1" s="1"/>
  <c r="AH35" i="1"/>
  <c r="AW35" i="1" s="1"/>
  <c r="AG29" i="1"/>
  <c r="AN51" i="1"/>
  <c r="BC51" i="1" s="1"/>
  <c r="AN65" i="1"/>
  <c r="AF72" i="1"/>
  <c r="AU72" i="1" s="1"/>
  <c r="AM44" i="1"/>
  <c r="BB44" i="1" s="1"/>
  <c r="AF21" i="1"/>
  <c r="AU21" i="1" s="1"/>
  <c r="AN24" i="1"/>
  <c r="BC24" i="1" s="1"/>
  <c r="AO40" i="1"/>
  <c r="BD40" i="1" s="1"/>
  <c r="AO73" i="1"/>
  <c r="BD73" i="1" s="1"/>
  <c r="AG42" i="1"/>
  <c r="AG57" i="1"/>
  <c r="AN57" i="1"/>
  <c r="AN41" i="1"/>
  <c r="BC41" i="1" s="1"/>
  <c r="AN86" i="1"/>
  <c r="BC86" i="1" s="1"/>
  <c r="AN26" i="1"/>
  <c r="BC26" i="1" s="1"/>
  <c r="AF24" i="1"/>
  <c r="AU24" i="1" s="1"/>
  <c r="AF17" i="1"/>
  <c r="AU17" i="1" s="1"/>
  <c r="AO44" i="1"/>
  <c r="BD44" i="1" s="1"/>
  <c r="AG45" i="1"/>
  <c r="AV45" i="1" s="1"/>
  <c r="AN23" i="1"/>
  <c r="BC23" i="1" s="1"/>
  <c r="AN39" i="1"/>
  <c r="BC39" i="1" s="1"/>
  <c r="AN69" i="1"/>
  <c r="BC69" i="1" s="1"/>
  <c r="AN70" i="1"/>
  <c r="BC70" i="1" s="1"/>
  <c r="AF42" i="1"/>
  <c r="AF35" i="1"/>
  <c r="AU35" i="1" s="1"/>
  <c r="AF32" i="1"/>
  <c r="AU32" i="1" s="1"/>
  <c r="AF50" i="1"/>
  <c r="AU50" i="1" s="1"/>
  <c r="AF61" i="1"/>
  <c r="AF80" i="1"/>
  <c r="AM35" i="1"/>
  <c r="BB35" i="1" s="1"/>
  <c r="AM58" i="1"/>
  <c r="BB58" i="1" s="1"/>
  <c r="AN16" i="1"/>
  <c r="BC16" i="1" s="1"/>
  <c r="AF30" i="1"/>
  <c r="AC75" i="1"/>
  <c r="AC65" i="1"/>
  <c r="AC49" i="1"/>
  <c r="AC60" i="1"/>
  <c r="AR60" i="1" s="1"/>
  <c r="AC32" i="1"/>
  <c r="AR32" i="1" s="1"/>
  <c r="AC30" i="1"/>
  <c r="AC40" i="1"/>
  <c r="AR40" i="1" s="1"/>
  <c r="AC35" i="1"/>
  <c r="AR35" i="1" s="1"/>
  <c r="AC74" i="1"/>
  <c r="AC64" i="1"/>
  <c r="AR64" i="1" s="1"/>
  <c r="AC77" i="1"/>
  <c r="AC45" i="1"/>
  <c r="AR45" i="1" s="1"/>
  <c r="AC17" i="1"/>
  <c r="AR17" i="1" s="1"/>
  <c r="AC20" i="1"/>
  <c r="AR20" i="1" s="1"/>
  <c r="AC16" i="1"/>
  <c r="AR16" i="1" s="1"/>
  <c r="AC37" i="1"/>
  <c r="AR37" i="1" s="1"/>
  <c r="AC85" i="1"/>
  <c r="AC61" i="1"/>
  <c r="AC58" i="1"/>
  <c r="AR58" i="1" s="1"/>
  <c r="AC46" i="1"/>
  <c r="AR46" i="1" s="1"/>
  <c r="AC25" i="1"/>
  <c r="AR25" i="1" s="1"/>
  <c r="AC19" i="1"/>
  <c r="AR19" i="1" s="1"/>
  <c r="V22" i="1"/>
  <c r="V29" i="1" s="1"/>
  <c r="AC78" i="1"/>
  <c r="AC83" i="1"/>
  <c r="AC80" i="1"/>
  <c r="AC51" i="1"/>
  <c r="AR51" i="1" s="1"/>
  <c r="AC48" i="1"/>
  <c r="AR48" i="1" s="1"/>
  <c r="AC36" i="1"/>
  <c r="AR36" i="1" s="1"/>
  <c r="AO25" i="1"/>
  <c r="BD25" i="1" s="1"/>
  <c r="AO21" i="1"/>
  <c r="BD21" i="1" s="1"/>
  <c r="AO86" i="1"/>
  <c r="BD86" i="1" s="1"/>
  <c r="AO74" i="1"/>
  <c r="AO50" i="1"/>
  <c r="BD50" i="1" s="1"/>
  <c r="AO58" i="1"/>
  <c r="BD58" i="1" s="1"/>
  <c r="AO30" i="1"/>
  <c r="AO71" i="1"/>
  <c r="BD71" i="1" s="1"/>
  <c r="AO60" i="1"/>
  <c r="BD60" i="1" s="1"/>
  <c r="AO64" i="1"/>
  <c r="BD64" i="1" s="1"/>
  <c r="AO29" i="1"/>
  <c r="AO39" i="1"/>
  <c r="BD39" i="1" s="1"/>
  <c r="AO35" i="1"/>
  <c r="BD35" i="1" s="1"/>
  <c r="AO49" i="1"/>
  <c r="AO24" i="1"/>
  <c r="BD24" i="1" s="1"/>
  <c r="AO80" i="1"/>
  <c r="AO69" i="1"/>
  <c r="BD69" i="1" s="1"/>
  <c r="AO28" i="1"/>
  <c r="AO48" i="1"/>
  <c r="BD48" i="1" s="1"/>
  <c r="AO22" i="1"/>
  <c r="BD22" i="1" s="1"/>
  <c r="AO20" i="1"/>
  <c r="BD20" i="1" s="1"/>
  <c r="AO26" i="1"/>
  <c r="BD26" i="1" s="1"/>
  <c r="AO72" i="1"/>
  <c r="BD72" i="1" s="1"/>
  <c r="AO51" i="1"/>
  <c r="BD51" i="1" s="1"/>
  <c r="AC52" i="1"/>
  <c r="AR52" i="1" s="1"/>
  <c r="AC84" i="1"/>
  <c r="AC21" i="1"/>
  <c r="AR21" i="1" s="1"/>
  <c r="AK39" i="1"/>
  <c r="AZ39" i="1" s="1"/>
  <c r="AK64" i="1"/>
  <c r="AZ64" i="1" s="1"/>
  <c r="AK77" i="1"/>
  <c r="AZ77" i="1" s="1"/>
  <c r="AK52" i="1"/>
  <c r="AZ52" i="1" s="1"/>
  <c r="AK30" i="1"/>
  <c r="AK24" i="1"/>
  <c r="AZ24" i="1" s="1"/>
  <c r="AK76" i="1"/>
  <c r="AZ76" i="1" s="1"/>
  <c r="AK61" i="1"/>
  <c r="AK50" i="1"/>
  <c r="AZ50" i="1" s="1"/>
  <c r="AK34" i="1"/>
  <c r="AK35" i="1"/>
  <c r="AZ35" i="1" s="1"/>
  <c r="AK75" i="1"/>
  <c r="AK72" i="1"/>
  <c r="AZ72" i="1" s="1"/>
  <c r="AK59" i="1"/>
  <c r="AZ59" i="1" s="1"/>
  <c r="AK17" i="1"/>
  <c r="AZ17" i="1" s="1"/>
  <c r="AK36" i="1"/>
  <c r="AZ36" i="1" s="1"/>
  <c r="AK20" i="1"/>
  <c r="AZ20" i="1" s="1"/>
  <c r="AK68" i="1"/>
  <c r="AZ68" i="1" s="1"/>
  <c r="AK57" i="1"/>
  <c r="AK41" i="1"/>
  <c r="AZ41" i="1" s="1"/>
  <c r="AK18" i="1"/>
  <c r="AZ18" i="1" s="1"/>
  <c r="AK28" i="1"/>
  <c r="AL21" i="1"/>
  <c r="BA21" i="1" s="1"/>
  <c r="AL37" i="1"/>
  <c r="BA37" i="1" s="1"/>
  <c r="AL26" i="1"/>
  <c r="BA26" i="1" s="1"/>
  <c r="AL18" i="1"/>
  <c r="BA18" i="1" s="1"/>
  <c r="AL61" i="1"/>
  <c r="AL74" i="1"/>
  <c r="AL48" i="1"/>
  <c r="BA48" i="1" s="1"/>
  <c r="AL76" i="1"/>
  <c r="BA76" i="1" s="1"/>
  <c r="AL49" i="1"/>
  <c r="AL30" i="1"/>
  <c r="AL86" i="1"/>
  <c r="BA86" i="1" s="1"/>
  <c r="AL71" i="1"/>
  <c r="BA71" i="1" s="1"/>
  <c r="AL75" i="1"/>
  <c r="AL46" i="1"/>
  <c r="BA46" i="1" s="1"/>
  <c r="AL29" i="1"/>
  <c r="AL36" i="1"/>
  <c r="BA36" i="1" s="1"/>
  <c r="AL17" i="1"/>
  <c r="AL22" i="1"/>
  <c r="BA22" i="1" s="1"/>
  <c r="AL65" i="1"/>
  <c r="AL59" i="1"/>
  <c r="BA59" i="1" s="1"/>
  <c r="AL39" i="1"/>
  <c r="BA39" i="1" s="1"/>
  <c r="AL23" i="1"/>
  <c r="BA23" i="1" s="1"/>
  <c r="AK29" i="1"/>
  <c r="AL19" i="1"/>
  <c r="BA19" i="1" s="1"/>
  <c r="AO37" i="1"/>
  <c r="BD37" i="1" s="1"/>
  <c r="AO41" i="1"/>
  <c r="BD41" i="1" s="1"/>
  <c r="AK44" i="1"/>
  <c r="AL35" i="1"/>
  <c r="BA35" i="1" s="1"/>
  <c r="AL42" i="1"/>
  <c r="AL70" i="1"/>
  <c r="BA70" i="1" s="1"/>
  <c r="AK23" i="1"/>
  <c r="AZ23" i="1" s="1"/>
  <c r="AK33" i="1"/>
  <c r="AK86" i="1"/>
  <c r="AZ86" i="1" s="1"/>
  <c r="AC47" i="1"/>
  <c r="AR47" i="1" s="1"/>
  <c r="AC86" i="1"/>
  <c r="AR86" i="1" s="1"/>
  <c r="AK22" i="1"/>
  <c r="AZ22" i="1" s="1"/>
  <c r="AL16" i="1"/>
  <c r="BA16" i="1" s="1"/>
  <c r="AG86" i="1"/>
  <c r="AV86" i="1" s="1"/>
  <c r="AG69" i="1"/>
  <c r="AV69" i="1" s="1"/>
  <c r="AG68" i="1"/>
  <c r="AV68" i="1" s="1"/>
  <c r="AG32" i="1"/>
  <c r="AV32" i="1" s="1"/>
  <c r="AG39" i="1"/>
  <c r="AV39" i="1" s="1"/>
  <c r="AG77" i="1"/>
  <c r="AV77" i="1" s="1"/>
  <c r="AG61" i="1"/>
  <c r="AG38" i="1"/>
  <c r="AV38" i="1" s="1"/>
  <c r="AG46" i="1"/>
  <c r="AV46" i="1" s="1"/>
  <c r="AG76" i="1"/>
  <c r="AV76" i="1" s="1"/>
  <c r="AG64" i="1"/>
  <c r="AV64" i="1" s="1"/>
  <c r="AG60" i="1"/>
  <c r="AV60" i="1" s="1"/>
  <c r="AG49" i="1"/>
  <c r="AG36" i="1"/>
  <c r="AV36" i="1" s="1"/>
  <c r="AG72" i="1"/>
  <c r="AV72" i="1" s="1"/>
  <c r="AG73" i="1"/>
  <c r="AV73" i="1" s="1"/>
  <c r="AG50" i="1"/>
  <c r="AV50" i="1" s="1"/>
  <c r="AG41" i="1"/>
  <c r="AV41" i="1" s="1"/>
  <c r="AG28" i="1"/>
  <c r="AG52" i="1"/>
  <c r="AV52" i="1" s="1"/>
  <c r="AM29" i="1"/>
  <c r="AM80" i="1"/>
  <c r="AM51" i="1"/>
  <c r="BB51" i="1" s="1"/>
  <c r="AM32" i="1"/>
  <c r="BB32" i="1" s="1"/>
  <c r="AM38" i="1"/>
  <c r="BB38" i="1" s="1"/>
  <c r="AM24" i="1"/>
  <c r="BB24" i="1" s="1"/>
  <c r="AM28" i="1"/>
  <c r="AM21" i="1"/>
  <c r="BB21" i="1" s="1"/>
  <c r="AM76" i="1"/>
  <c r="BB76" i="1" s="1"/>
  <c r="AM60" i="1"/>
  <c r="BB60" i="1" s="1"/>
  <c r="AM37" i="1"/>
  <c r="BB37" i="1" s="1"/>
  <c r="AM19" i="1"/>
  <c r="AM71" i="1"/>
  <c r="BB71" i="1" s="1"/>
  <c r="AM59" i="1"/>
  <c r="BB59" i="1" s="1"/>
  <c r="AM30" i="1"/>
  <c r="AM36" i="1"/>
  <c r="BB36" i="1" s="1"/>
  <c r="AM70" i="1"/>
  <c r="BB70" i="1" s="1"/>
  <c r="AM48" i="1"/>
  <c r="BB48" i="1" s="1"/>
  <c r="AM47" i="1"/>
  <c r="BB47" i="1" s="1"/>
  <c r="AM49" i="1"/>
  <c r="AM18" i="1"/>
  <c r="BB18" i="1" s="1"/>
  <c r="AL28" i="1"/>
  <c r="AO33" i="1"/>
  <c r="AO47" i="1"/>
  <c r="BD47" i="1" s="1"/>
  <c r="AO68" i="1"/>
  <c r="BD68" i="1" s="1"/>
  <c r="AK40" i="1"/>
  <c r="AZ40" i="1" s="1"/>
  <c r="AL38" i="1"/>
  <c r="BA38" i="1" s="1"/>
  <c r="AL60" i="1"/>
  <c r="BA60" i="1" s="1"/>
  <c r="AL52" i="1"/>
  <c r="BA52" i="1" s="1"/>
  <c r="AL64" i="1"/>
  <c r="BA64" i="1" s="1"/>
  <c r="AC23" i="1"/>
  <c r="AR23" i="1" s="1"/>
  <c r="AK46" i="1"/>
  <c r="AZ46" i="1" s="1"/>
  <c r="AK70" i="1"/>
  <c r="AZ70" i="1" s="1"/>
  <c r="AC33" i="1"/>
  <c r="AC70" i="1"/>
  <c r="AR70" i="1" s="1"/>
  <c r="AO18" i="1"/>
  <c r="BD18" i="1" s="1"/>
  <c r="AO17" i="1"/>
  <c r="BD17" i="1" s="1"/>
  <c r="AO16" i="1"/>
  <c r="BD16" i="1" s="1"/>
  <c r="AH61" i="1"/>
  <c r="AH25" i="1"/>
  <c r="AW25" i="1" s="1"/>
  <c r="AH32" i="1"/>
  <c r="AW32" i="1" s="1"/>
  <c r="AH19" i="1"/>
  <c r="AW19" i="1" s="1"/>
  <c r="AH41" i="1"/>
  <c r="AW41" i="1" s="1"/>
  <c r="AH49" i="1"/>
  <c r="AH28" i="1"/>
  <c r="AC28" i="1"/>
  <c r="AO42" i="1"/>
  <c r="AO38" i="1"/>
  <c r="BD38" i="1" s="1"/>
  <c r="AO57" i="1"/>
  <c r="AK38" i="1"/>
  <c r="AZ38" i="1" s="1"/>
  <c r="AL25" i="1"/>
  <c r="BA25" i="1" s="1"/>
  <c r="AL40" i="1"/>
  <c r="BA40" i="1" s="1"/>
  <c r="AL69" i="1"/>
  <c r="BA69" i="1" s="1"/>
  <c r="AL47" i="1"/>
  <c r="BA47" i="1" s="1"/>
  <c r="AL68" i="1"/>
  <c r="BA68" i="1" s="1"/>
  <c r="AK45" i="1"/>
  <c r="AZ45" i="1" s="1"/>
  <c r="AC42" i="1"/>
  <c r="AC72" i="1"/>
  <c r="AR72" i="1" s="1"/>
  <c r="AK37" i="1"/>
  <c r="AZ37" i="1" s="1"/>
  <c r="AC22" i="1"/>
  <c r="AR22" i="1" s="1"/>
  <c r="AF18" i="1"/>
  <c r="AU18" i="1" s="1"/>
  <c r="AE29" i="1"/>
  <c r="AN22" i="1"/>
  <c r="BC22" i="1" s="1"/>
  <c r="AF47" i="1"/>
  <c r="AU47" i="1" s="1"/>
  <c r="AS64" i="1"/>
  <c r="AS22" i="1"/>
  <c r="AP11" i="1"/>
  <c r="AH75" i="1"/>
  <c r="AH65" i="1"/>
  <c r="AH71" i="1"/>
  <c r="AW71" i="1" s="1"/>
  <c r="AH70" i="1"/>
  <c r="AW70" i="1" s="1"/>
  <c r="AH40" i="1"/>
  <c r="AW40" i="1" s="1"/>
  <c r="AH36" i="1"/>
  <c r="AW36" i="1" s="1"/>
  <c r="AH76" i="1"/>
  <c r="AH68" i="1"/>
  <c r="AW68" i="1" s="1"/>
  <c r="AH50" i="1"/>
  <c r="AW50" i="1" s="1"/>
  <c r="AH58" i="1"/>
  <c r="AW58" i="1" s="1"/>
  <c r="AH44" i="1"/>
  <c r="AW44" i="1" s="1"/>
  <c r="AH37" i="1"/>
  <c r="AW37" i="1" s="1"/>
  <c r="AH69" i="1"/>
  <c r="AW69" i="1" s="1"/>
  <c r="AH72" i="1"/>
  <c r="AW72" i="1" s="1"/>
  <c r="AH48" i="1"/>
  <c r="AW48" i="1" s="1"/>
  <c r="AH38" i="1"/>
  <c r="AH46" i="1"/>
  <c r="AW46" i="1" s="1"/>
  <c r="AH16" i="1"/>
  <c r="AH86" i="1"/>
  <c r="AW86" i="1" s="1"/>
  <c r="AH42" i="1"/>
  <c r="AH17" i="1"/>
  <c r="AW17" i="1" s="1"/>
  <c r="AH24" i="1"/>
  <c r="AW24" i="1" s="1"/>
  <c r="AH59" i="1"/>
  <c r="AW59" i="1" s="1"/>
  <c r="AH51" i="1"/>
  <c r="AW51" i="1" s="1"/>
  <c r="AH39" i="1"/>
  <c r="AW39" i="1" s="1"/>
  <c r="AH34" i="1"/>
  <c r="AH23" i="1"/>
  <c r="AW23" i="1" s="1"/>
  <c r="AH18" i="1"/>
  <c r="AW18" i="1" s="1"/>
  <c r="AD23" i="1"/>
  <c r="AS23" i="1" s="1"/>
  <c r="AD34" i="1"/>
  <c r="AD59" i="1"/>
  <c r="AD47" i="1"/>
  <c r="AD58" i="1"/>
  <c r="AH30" i="1"/>
  <c r="AH60" i="1"/>
  <c r="AW60" i="1" s="1"/>
  <c r="AH74" i="1"/>
  <c r="AD16" i="1"/>
  <c r="AD28" i="1"/>
  <c r="AP15" i="1"/>
  <c r="AD65" i="1"/>
  <c r="AD74" i="1"/>
  <c r="AD50" i="1"/>
  <c r="AD46" i="1"/>
  <c r="AD41" i="1"/>
  <c r="AD29" i="1"/>
  <c r="AD45" i="1"/>
  <c r="AD18" i="1"/>
  <c r="AD20" i="1"/>
  <c r="AS20" i="1" s="1"/>
  <c r="AH22" i="1"/>
  <c r="AW22" i="1" s="1"/>
  <c r="AD19" i="1"/>
  <c r="AH21" i="1"/>
  <c r="AW21" i="1" s="1"/>
  <c r="AD17" i="1"/>
  <c r="AD36" i="1"/>
  <c r="AD71" i="1"/>
  <c r="AD69" i="1"/>
  <c r="AD86" i="1"/>
  <c r="AH52" i="1"/>
  <c r="AW52" i="1" s="1"/>
  <c r="AH64" i="1"/>
  <c r="AW64" i="1" s="1"/>
  <c r="AD24" i="1"/>
  <c r="AD44" i="1"/>
  <c r="AD60" i="1"/>
  <c r="AD75" i="1"/>
  <c r="AD61" i="1"/>
  <c r="AH47" i="1"/>
  <c r="AW47" i="1" s="1"/>
  <c r="AH57" i="1"/>
  <c r="AD26" i="1"/>
  <c r="AD37" i="1"/>
  <c r="AD30" i="1"/>
  <c r="AD51" i="1"/>
  <c r="AS51" i="1" s="1"/>
  <c r="AD72" i="1"/>
  <c r="AH26" i="1"/>
  <c r="AW26" i="1" s="1"/>
  <c r="AH33" i="1"/>
  <c r="AG25" i="1"/>
  <c r="AV25" i="1" s="1"/>
  <c r="AG19" i="1"/>
  <c r="AV19" i="1" s="1"/>
  <c r="AG26" i="1"/>
  <c r="AV26" i="1" s="1"/>
  <c r="AG21" i="1"/>
  <c r="AV21" i="1" s="1"/>
  <c r="AG80" i="1"/>
  <c r="AG59" i="1"/>
  <c r="AV59" i="1" s="1"/>
  <c r="AG44" i="1"/>
  <c r="AV44" i="1" s="1"/>
  <c r="AG37" i="1"/>
  <c r="AV37" i="1" s="1"/>
  <c r="AG17" i="1"/>
  <c r="AV17" i="1" s="1"/>
  <c r="AG16" i="1"/>
  <c r="AG18" i="1"/>
  <c r="AV18" i="1" s="1"/>
  <c r="AG24" i="1"/>
  <c r="AV24" i="1" s="1"/>
  <c r="AG22" i="1"/>
  <c r="AV22" i="1" s="1"/>
  <c r="AK49" i="1"/>
  <c r="AK51" i="1"/>
  <c r="AZ51" i="1" s="1"/>
  <c r="AK42" i="1"/>
  <c r="AJ16" i="1"/>
  <c r="AJ60" i="1"/>
  <c r="AY60" i="1" s="1"/>
  <c r="AJ58" i="1"/>
  <c r="AY58" i="1" s="1"/>
  <c r="AJ50" i="1"/>
  <c r="AY50" i="1" s="1"/>
  <c r="AJ39" i="1"/>
  <c r="AY39" i="1" s="1"/>
  <c r="AJ35" i="1"/>
  <c r="AY35" i="1" s="1"/>
  <c r="AJ22" i="1"/>
  <c r="AY22" i="1" s="1"/>
  <c r="AJ73" i="1"/>
  <c r="N12" i="9" l="1"/>
  <c r="P12" i="9" s="1"/>
  <c r="Q12" i="9" s="1"/>
  <c r="C12" i="9"/>
  <c r="E12" i="9" s="1"/>
  <c r="N7" i="9"/>
  <c r="P7" i="9" s="1"/>
  <c r="Q7" i="9" s="1"/>
  <c r="C7" i="9"/>
  <c r="E7" i="9" s="1"/>
  <c r="G7" i="9"/>
  <c r="H7" i="9" s="1"/>
  <c r="D7" i="9"/>
  <c r="G12" i="9"/>
  <c r="D12" i="9"/>
  <c r="Q30" i="1"/>
  <c r="BC30" i="1" s="1"/>
  <c r="O29" i="1"/>
  <c r="AZ29" i="1" s="1"/>
  <c r="O28" i="1"/>
  <c r="B16" i="9" s="1"/>
  <c r="M30" i="1"/>
  <c r="L28" i="1"/>
  <c r="B13" i="9" s="1"/>
  <c r="L29" i="1"/>
  <c r="AX29" i="1" s="1"/>
  <c r="Q28" i="1"/>
  <c r="B18" i="9" s="1"/>
  <c r="H28" i="1"/>
  <c r="B9" i="9" s="1"/>
  <c r="C9" i="9" s="1"/>
  <c r="E9" i="9" s="1"/>
  <c r="M28" i="1"/>
  <c r="B14" i="9" s="1"/>
  <c r="M29" i="1"/>
  <c r="N28" i="1"/>
  <c r="K30" i="1"/>
  <c r="AW30" i="1" s="1"/>
  <c r="G29" i="1"/>
  <c r="AS29" i="1" s="1"/>
  <c r="Q29" i="1"/>
  <c r="BC29" i="1" s="1"/>
  <c r="G28" i="1"/>
  <c r="AS52" i="1"/>
  <c r="BE52" i="1" s="1"/>
  <c r="R29" i="1"/>
  <c r="R28" i="1"/>
  <c r="R30" i="1"/>
  <c r="P29" i="1"/>
  <c r="BB29" i="1" s="1"/>
  <c r="P28" i="1"/>
  <c r="P30" i="1"/>
  <c r="BB30" i="1" s="1"/>
  <c r="J29" i="1"/>
  <c r="AV29" i="1" s="1"/>
  <c r="J28" i="1"/>
  <c r="I28" i="1"/>
  <c r="I30" i="1"/>
  <c r="AU30" i="1" s="1"/>
  <c r="AT30" i="1"/>
  <c r="AU29" i="1"/>
  <c r="AS30" i="1"/>
  <c r="BA29" i="1"/>
  <c r="BA30" i="1"/>
  <c r="AT29" i="1"/>
  <c r="AV30" i="1"/>
  <c r="BL23" i="1"/>
  <c r="BM23" i="1" s="1"/>
  <c r="BM22" i="1"/>
  <c r="BN22" i="1" s="1"/>
  <c r="AR29" i="1"/>
  <c r="AR30" i="1"/>
  <c r="F32" i="1"/>
  <c r="AP84" i="1"/>
  <c r="AX30" i="1"/>
  <c r="AI87" i="1"/>
  <c r="AE87" i="1"/>
  <c r="BE20" i="1"/>
  <c r="BE68" i="1"/>
  <c r="AP83" i="1"/>
  <c r="AP78" i="1"/>
  <c r="AP21" i="1"/>
  <c r="BE40" i="1"/>
  <c r="AM87" i="1"/>
  <c r="BE35" i="1"/>
  <c r="AP70" i="1"/>
  <c r="AP80" i="1"/>
  <c r="BE32" i="1"/>
  <c r="AP42" i="1"/>
  <c r="AL87" i="1"/>
  <c r="BA17" i="1"/>
  <c r="BE17" i="1" s="1"/>
  <c r="BB19" i="1"/>
  <c r="BE19" i="1" s="1"/>
  <c r="BE18" i="1"/>
  <c r="AO87" i="1"/>
  <c r="AP39" i="1"/>
  <c r="AF87" i="1"/>
  <c r="BE25" i="1"/>
  <c r="BE48" i="1"/>
  <c r="BE70" i="1"/>
  <c r="AN87" i="1"/>
  <c r="AP32" i="1"/>
  <c r="AR77" i="1"/>
  <c r="BE77" i="1" s="1"/>
  <c r="AP77" i="1"/>
  <c r="AP33" i="1"/>
  <c r="AP22" i="1"/>
  <c r="AC87" i="1"/>
  <c r="AP40" i="1"/>
  <c r="AW29" i="1"/>
  <c r="AP85" i="1"/>
  <c r="BE23" i="1"/>
  <c r="BE64" i="1"/>
  <c r="BE51" i="1"/>
  <c r="AV16" i="1"/>
  <c r="AG87" i="1"/>
  <c r="AP30" i="1"/>
  <c r="AJ87" i="1"/>
  <c r="AY16" i="1"/>
  <c r="AD87" i="1"/>
  <c r="AP16" i="1"/>
  <c r="AS26" i="1"/>
  <c r="BE26" i="1" s="1"/>
  <c r="AP26" i="1"/>
  <c r="AP61" i="1"/>
  <c r="AP18" i="1"/>
  <c r="BE22" i="1"/>
  <c r="AP23" i="1"/>
  <c r="AS60" i="1"/>
  <c r="BE60" i="1" s="1"/>
  <c r="AP60" i="1"/>
  <c r="AP29" i="1"/>
  <c r="AW76" i="1"/>
  <c r="BE76" i="1" s="1"/>
  <c r="AP76" i="1"/>
  <c r="AP75" i="1"/>
  <c r="AS45" i="1"/>
  <c r="BE45" i="1" s="1"/>
  <c r="AP45" i="1"/>
  <c r="AP51" i="1"/>
  <c r="AS44" i="1"/>
  <c r="AP44" i="1"/>
  <c r="AS86" i="1"/>
  <c r="BE86" i="1" s="1"/>
  <c r="AP86" i="1"/>
  <c r="AS41" i="1"/>
  <c r="BE41" i="1" s="1"/>
  <c r="AP41" i="1"/>
  <c r="AP47" i="1"/>
  <c r="AS47" i="1"/>
  <c r="BE47" i="1" s="1"/>
  <c r="BE39" i="1"/>
  <c r="AP48" i="1"/>
  <c r="AK87" i="1"/>
  <c r="AP25" i="1"/>
  <c r="AP19" i="1"/>
  <c r="AW38" i="1"/>
  <c r="BE38" i="1" s="1"/>
  <c r="AP38" i="1"/>
  <c r="AS37" i="1"/>
  <c r="BE37" i="1" s="1"/>
  <c r="AP37" i="1"/>
  <c r="AS58" i="1"/>
  <c r="BE58" i="1" s="1"/>
  <c r="AP58" i="1"/>
  <c r="AS24" i="1"/>
  <c r="BE24" i="1" s="1"/>
  <c r="AP24" i="1"/>
  <c r="AP69" i="1"/>
  <c r="AS69" i="1"/>
  <c r="BE69" i="1" s="1"/>
  <c r="AP46" i="1"/>
  <c r="AS46" i="1"/>
  <c r="BE46" i="1" s="1"/>
  <c r="AS59" i="1"/>
  <c r="BE59" i="1" s="1"/>
  <c r="AP59" i="1"/>
  <c r="AP28" i="1"/>
  <c r="AP52" i="1"/>
  <c r="AP71" i="1"/>
  <c r="AS71" i="1"/>
  <c r="BE71" i="1" s="1"/>
  <c r="AP50" i="1"/>
  <c r="AS50" i="1"/>
  <c r="BE50" i="1" s="1"/>
  <c r="AZ30" i="1"/>
  <c r="AP34" i="1"/>
  <c r="AP35" i="1"/>
  <c r="BE21" i="1"/>
  <c r="AP20" i="1"/>
  <c r="AP49" i="1"/>
  <c r="AP36" i="1"/>
  <c r="AZ44" i="1"/>
  <c r="AS36" i="1"/>
  <c r="BE36" i="1" s="1"/>
  <c r="AP74" i="1"/>
  <c r="AY73" i="1"/>
  <c r="BE73" i="1" s="1"/>
  <c r="AP73" i="1"/>
  <c r="AS72" i="1"/>
  <c r="BE72" i="1" s="1"/>
  <c r="AP72" i="1"/>
  <c r="AP17" i="1"/>
  <c r="AP65" i="1"/>
  <c r="AH87" i="1"/>
  <c r="AW16" i="1"/>
  <c r="AP57" i="1"/>
  <c r="AP68" i="1"/>
  <c r="AP64" i="1"/>
  <c r="N18" i="9" l="1"/>
  <c r="P18" i="9" s="1"/>
  <c r="Q18" i="9" s="1"/>
  <c r="C18" i="9"/>
  <c r="E18" i="9" s="1"/>
  <c r="N13" i="9"/>
  <c r="P13" i="9" s="1"/>
  <c r="Q13" i="9" s="1"/>
  <c r="C13" i="9"/>
  <c r="E13" i="9" s="1"/>
  <c r="N16" i="9"/>
  <c r="P16" i="9" s="1"/>
  <c r="Q16" i="9" s="1"/>
  <c r="C16" i="9"/>
  <c r="E16" i="9" s="1"/>
  <c r="N14" i="9"/>
  <c r="P14" i="9" s="1"/>
  <c r="Q14" i="9" s="1"/>
  <c r="C14" i="9"/>
  <c r="E14" i="9" s="1"/>
  <c r="B27" i="13"/>
  <c r="O26" i="1"/>
  <c r="L26" i="1"/>
  <c r="AX28" i="1"/>
  <c r="L32" i="1"/>
  <c r="L33" i="1" s="1"/>
  <c r="H26" i="1"/>
  <c r="H12" i="9"/>
  <c r="I12" i="9" s="1"/>
  <c r="J12" i="9" s="1"/>
  <c r="I7" i="9"/>
  <c r="J7" i="9" s="1"/>
  <c r="I26" i="1"/>
  <c r="B10" i="9"/>
  <c r="C10" i="9" s="1"/>
  <c r="E10" i="9" s="1"/>
  <c r="G26" i="1"/>
  <c r="B8" i="9"/>
  <c r="C8" i="9" s="1"/>
  <c r="E8" i="9" s="1"/>
  <c r="AV28" i="1"/>
  <c r="B11" i="9"/>
  <c r="C11" i="9" s="1"/>
  <c r="E11" i="9" s="1"/>
  <c r="D9" i="9"/>
  <c r="N9" i="9"/>
  <c r="P9" i="9" s="1"/>
  <c r="Q9" i="9" s="1"/>
  <c r="G9" i="9"/>
  <c r="D16" i="9"/>
  <c r="G16" i="9"/>
  <c r="G14" i="9"/>
  <c r="D14" i="9"/>
  <c r="G13" i="9"/>
  <c r="D13" i="9"/>
  <c r="G18" i="9"/>
  <c r="D18" i="9"/>
  <c r="BC28" i="1"/>
  <c r="P26" i="1"/>
  <c r="B17" i="9"/>
  <c r="N26" i="1"/>
  <c r="B15" i="9"/>
  <c r="N32" i="1"/>
  <c r="N61" i="1" s="1"/>
  <c r="N62" i="1" s="1"/>
  <c r="BA28" i="1"/>
  <c r="M26" i="1"/>
  <c r="M32" i="1"/>
  <c r="M80" i="1" s="1"/>
  <c r="M81" i="1" s="1"/>
  <c r="M82" i="1" s="1"/>
  <c r="M83" i="1" s="1"/>
  <c r="M84" i="1" s="1"/>
  <c r="J26" i="1"/>
  <c r="G32" i="1"/>
  <c r="G33" i="1" s="1"/>
  <c r="G42" i="1" s="1"/>
  <c r="AS28" i="1"/>
  <c r="AT28" i="1"/>
  <c r="F26" i="1"/>
  <c r="R26" i="1"/>
  <c r="BN24" i="1"/>
  <c r="BM24" i="1"/>
  <c r="L80" i="1"/>
  <c r="L81" i="1" s="1"/>
  <c r="L82" i="1" s="1"/>
  <c r="L83" i="1" s="1"/>
  <c r="L85" i="1" s="1"/>
  <c r="Q26" i="1"/>
  <c r="Q32" i="1"/>
  <c r="Q73" i="1" s="1"/>
  <c r="J32" i="1"/>
  <c r="J80" i="1" s="1"/>
  <c r="J81" i="1" s="1"/>
  <c r="J82" i="1" s="1"/>
  <c r="J83" i="1" s="1"/>
  <c r="H32" i="1"/>
  <c r="BB28" i="1"/>
  <c r="AR28" i="1"/>
  <c r="R32" i="1"/>
  <c r="P32" i="1"/>
  <c r="P61" i="1" s="1"/>
  <c r="AP87" i="1"/>
  <c r="BE29" i="1"/>
  <c r="K32" i="1"/>
  <c r="K26" i="1"/>
  <c r="AW28" i="1"/>
  <c r="BE30" i="1"/>
  <c r="O32" i="1"/>
  <c r="AZ28" i="1"/>
  <c r="I32" i="1"/>
  <c r="AU28" i="1"/>
  <c r="BE16" i="1"/>
  <c r="BE44" i="1"/>
  <c r="N17" i="9" l="1"/>
  <c r="P17" i="9" s="1"/>
  <c r="Q17" i="9" s="1"/>
  <c r="C17" i="9"/>
  <c r="E17" i="9" s="1"/>
  <c r="N15" i="9"/>
  <c r="P15" i="9" s="1"/>
  <c r="Q15" i="9" s="1"/>
  <c r="C15" i="9"/>
  <c r="E15" i="9" s="1"/>
  <c r="L61" i="1"/>
  <c r="L64" i="1" s="1"/>
  <c r="E27" i="13"/>
  <c r="B38" i="13"/>
  <c r="C27" i="13"/>
  <c r="F27" i="13"/>
  <c r="D27" i="13"/>
  <c r="L73" i="1"/>
  <c r="L75" i="1" s="1"/>
  <c r="L76" i="1" s="1"/>
  <c r="L77" i="1" s="1"/>
  <c r="L41" i="1"/>
  <c r="H18" i="9"/>
  <c r="I18" i="9" s="1"/>
  <c r="J18" i="9" s="1"/>
  <c r="H9" i="9"/>
  <c r="I9" i="9" s="1"/>
  <c r="J9" i="9" s="1"/>
  <c r="H13" i="9"/>
  <c r="I13" i="9" s="1"/>
  <c r="J13" i="9" s="1"/>
  <c r="G11" i="9"/>
  <c r="D11" i="9"/>
  <c r="N11" i="9"/>
  <c r="P11" i="9" s="1"/>
  <c r="Q11" i="9" s="1"/>
  <c r="N64" i="1"/>
  <c r="G10" i="9"/>
  <c r="N10" i="9"/>
  <c r="P10" i="9" s="1"/>
  <c r="Q10" i="9" s="1"/>
  <c r="D10" i="9"/>
  <c r="D8" i="9"/>
  <c r="G8" i="9"/>
  <c r="N8" i="9"/>
  <c r="P8" i="9" s="1"/>
  <c r="Q8" i="9" s="1"/>
  <c r="H16" i="9"/>
  <c r="I16" i="9" s="1"/>
  <c r="J16" i="9" s="1"/>
  <c r="H14" i="9"/>
  <c r="I14" i="9" s="1"/>
  <c r="J14" i="9" s="1"/>
  <c r="G15" i="9"/>
  <c r="D15" i="9"/>
  <c r="D17" i="9"/>
  <c r="G17" i="9"/>
  <c r="N57" i="1"/>
  <c r="N60" i="1" s="1"/>
  <c r="N80" i="1"/>
  <c r="N81" i="1" s="1"/>
  <c r="N82" i="1" s="1"/>
  <c r="N83" i="1" s="1"/>
  <c r="N84" i="1" s="1"/>
  <c r="N63" i="1"/>
  <c r="N41" i="1"/>
  <c r="N65" i="1"/>
  <c r="BA65" i="1" s="1"/>
  <c r="N33" i="1"/>
  <c r="N42" i="1" s="1"/>
  <c r="N73" i="1"/>
  <c r="N74" i="1" s="1"/>
  <c r="BA74" i="1" s="1"/>
  <c r="M33" i="1"/>
  <c r="M34" i="1" s="1"/>
  <c r="M73" i="1"/>
  <c r="M74" i="1" s="1"/>
  <c r="AY74" i="1" s="1"/>
  <c r="M61" i="1"/>
  <c r="M64" i="1" s="1"/>
  <c r="G80" i="1"/>
  <c r="G81" i="1" s="1"/>
  <c r="G82" i="1" s="1"/>
  <c r="G83" i="1" s="1"/>
  <c r="G84" i="1" s="1"/>
  <c r="G41" i="1"/>
  <c r="M41" i="1"/>
  <c r="G61" i="1"/>
  <c r="AS61" i="1" s="1"/>
  <c r="G73" i="1"/>
  <c r="G75" i="1" s="1"/>
  <c r="G76" i="1" s="1"/>
  <c r="G77" i="1" s="1"/>
  <c r="G34" i="1"/>
  <c r="AS34" i="1" s="1"/>
  <c r="L84" i="1"/>
  <c r="J73" i="1"/>
  <c r="J74" i="1" s="1"/>
  <c r="AV74" i="1" s="1"/>
  <c r="J33" i="1"/>
  <c r="J42" i="1" s="1"/>
  <c r="AV42" i="1" s="1"/>
  <c r="M85" i="1"/>
  <c r="P57" i="1"/>
  <c r="P64" i="1"/>
  <c r="P62" i="1"/>
  <c r="P65" i="1"/>
  <c r="P63" i="1"/>
  <c r="R80" i="1"/>
  <c r="R81" i="1" s="1"/>
  <c r="R82" i="1" s="1"/>
  <c r="R83" i="1" s="1"/>
  <c r="R85" i="1" s="1"/>
  <c r="R61" i="1"/>
  <c r="K80" i="1"/>
  <c r="K81" i="1" s="1"/>
  <c r="K82" i="1" s="1"/>
  <c r="K83" i="1" s="1"/>
  <c r="K84" i="1" s="1"/>
  <c r="K61" i="1"/>
  <c r="O80" i="1"/>
  <c r="O81" i="1" s="1"/>
  <c r="O82" i="1" s="1"/>
  <c r="O83" i="1" s="1"/>
  <c r="O84" i="1" s="1"/>
  <c r="O61" i="1"/>
  <c r="H80" i="1"/>
  <c r="H81" i="1" s="1"/>
  <c r="H82" i="1" s="1"/>
  <c r="H83" i="1" s="1"/>
  <c r="H84" i="1" s="1"/>
  <c r="AT84" i="1" s="1"/>
  <c r="H61" i="1"/>
  <c r="AT61" i="1" s="1"/>
  <c r="Q80" i="1"/>
  <c r="Q81" i="1" s="1"/>
  <c r="Q82" i="1" s="1"/>
  <c r="Q83" i="1" s="1"/>
  <c r="Q61" i="1"/>
  <c r="Q33" i="1"/>
  <c r="Q42" i="1" s="1"/>
  <c r="Q41" i="1"/>
  <c r="J41" i="1"/>
  <c r="J61" i="1"/>
  <c r="AV61" i="1" s="1"/>
  <c r="I80" i="1"/>
  <c r="I81" i="1" s="1"/>
  <c r="I82" i="1" s="1"/>
  <c r="I83" i="1" s="1"/>
  <c r="I84" i="1" s="1"/>
  <c r="I61" i="1"/>
  <c r="H73" i="1"/>
  <c r="H74" i="1" s="1"/>
  <c r="AT74" i="1" s="1"/>
  <c r="H33" i="1"/>
  <c r="AT33" i="1" s="1"/>
  <c r="R73" i="1"/>
  <c r="R74" i="1" s="1"/>
  <c r="BD74" i="1" s="1"/>
  <c r="R41" i="1"/>
  <c r="H41" i="1"/>
  <c r="R33" i="1"/>
  <c r="R42" i="1" s="1"/>
  <c r="J85" i="1"/>
  <c r="J84" i="1"/>
  <c r="P73" i="1"/>
  <c r="P74" i="1" s="1"/>
  <c r="P80" i="1"/>
  <c r="P81" i="1" s="1"/>
  <c r="P82" i="1" s="1"/>
  <c r="P83" i="1" s="1"/>
  <c r="F41" i="1"/>
  <c r="F80" i="1"/>
  <c r="F73" i="1"/>
  <c r="F61" i="1"/>
  <c r="F33" i="1"/>
  <c r="P33" i="1"/>
  <c r="P42" i="1" s="1"/>
  <c r="P41" i="1"/>
  <c r="BE28" i="1"/>
  <c r="BI16" i="1" s="1"/>
  <c r="BA61" i="1"/>
  <c r="K73" i="1"/>
  <c r="K33" i="1"/>
  <c r="K41" i="1"/>
  <c r="Q74" i="1"/>
  <c r="BC74" i="1" s="1"/>
  <c r="Q75" i="1"/>
  <c r="I33" i="1"/>
  <c r="I73" i="1"/>
  <c r="I41" i="1"/>
  <c r="L42" i="1"/>
  <c r="L34" i="1"/>
  <c r="AX61" i="1"/>
  <c r="O33" i="1"/>
  <c r="O41" i="1"/>
  <c r="O73" i="1"/>
  <c r="B60" i="13" l="1"/>
  <c r="B62" i="13" s="1"/>
  <c r="B63" i="13" s="1"/>
  <c r="B64" i="13" s="1"/>
  <c r="L65" i="1"/>
  <c r="B28" i="13"/>
  <c r="L63" i="1"/>
  <c r="B66" i="13"/>
  <c r="L62" i="1"/>
  <c r="B58" i="13"/>
  <c r="L57" i="1"/>
  <c r="L49" i="1" s="1"/>
  <c r="L74" i="1"/>
  <c r="AX74" i="1" s="1"/>
  <c r="N85" i="1"/>
  <c r="N49" i="1"/>
  <c r="N51" i="1" s="1"/>
  <c r="N58" i="1"/>
  <c r="N59" i="1"/>
  <c r="H8" i="9"/>
  <c r="I8" i="9" s="1"/>
  <c r="J8" i="9" s="1"/>
  <c r="H11" i="9"/>
  <c r="I11" i="9" s="1"/>
  <c r="J11" i="9" s="1"/>
  <c r="H10" i="9"/>
  <c r="I10" i="9" s="1"/>
  <c r="J10" i="9" s="1"/>
  <c r="N34" i="1"/>
  <c r="BA34" i="1" s="1"/>
  <c r="H17" i="9"/>
  <c r="I17" i="9" s="1"/>
  <c r="J17" i="9" s="1"/>
  <c r="H15" i="9"/>
  <c r="I15" i="9" s="1"/>
  <c r="J15" i="9" s="1"/>
  <c r="N68" i="1"/>
  <c r="N67" i="1"/>
  <c r="N66" i="1"/>
  <c r="N75" i="1"/>
  <c r="BA75" i="1" s="1"/>
  <c r="AY61" i="1"/>
  <c r="M62" i="1"/>
  <c r="M63" i="1"/>
  <c r="M65" i="1"/>
  <c r="M66" i="1" s="1"/>
  <c r="M42" i="1"/>
  <c r="M75" i="1"/>
  <c r="AY75" i="1" s="1"/>
  <c r="G85" i="1"/>
  <c r="M57" i="1"/>
  <c r="M58" i="1" s="1"/>
  <c r="G57" i="1"/>
  <c r="AS57" i="1" s="1"/>
  <c r="G74" i="1"/>
  <c r="AS74" i="1" s="1"/>
  <c r="G35" i="1"/>
  <c r="G36" i="1" s="1"/>
  <c r="G62" i="1"/>
  <c r="AS75" i="1"/>
  <c r="G63" i="1"/>
  <c r="G65" i="1"/>
  <c r="AS65" i="1" s="1"/>
  <c r="G64" i="1"/>
  <c r="R84" i="1"/>
  <c r="J75" i="1"/>
  <c r="AV75" i="1" s="1"/>
  <c r="AV33" i="1"/>
  <c r="J34" i="1"/>
  <c r="AV34" i="1" s="1"/>
  <c r="K85" i="1"/>
  <c r="Q34" i="1"/>
  <c r="Q35" i="1" s="1"/>
  <c r="Q36" i="1" s="1"/>
  <c r="O85" i="1"/>
  <c r="I85" i="1"/>
  <c r="H85" i="1"/>
  <c r="AT85" i="1" s="1"/>
  <c r="P66" i="1"/>
  <c r="P67" i="1"/>
  <c r="P68" i="1"/>
  <c r="P58" i="1"/>
  <c r="P60" i="1"/>
  <c r="P49" i="1"/>
  <c r="P59" i="1"/>
  <c r="R57" i="1"/>
  <c r="BD57" i="1" s="1"/>
  <c r="R65" i="1"/>
  <c r="BD65" i="1" s="1"/>
  <c r="R63" i="1"/>
  <c r="R64" i="1"/>
  <c r="R62" i="1"/>
  <c r="AT83" i="1"/>
  <c r="L58" i="1"/>
  <c r="Q57" i="1"/>
  <c r="BC57" i="1" s="1"/>
  <c r="Q63" i="1"/>
  <c r="Q64" i="1"/>
  <c r="Q62" i="1"/>
  <c r="Q65" i="1"/>
  <c r="BC65" i="1" s="1"/>
  <c r="L66" i="1"/>
  <c r="L67" i="1"/>
  <c r="L68" i="1"/>
  <c r="J57" i="1"/>
  <c r="AV57" i="1" s="1"/>
  <c r="J62" i="1"/>
  <c r="J63" i="1"/>
  <c r="J65" i="1"/>
  <c r="AV65" i="1" s="1"/>
  <c r="J64" i="1"/>
  <c r="H57" i="1"/>
  <c r="AT57" i="1" s="1"/>
  <c r="H62" i="1"/>
  <c r="H65" i="1"/>
  <c r="H63" i="1"/>
  <c r="H64" i="1"/>
  <c r="Q84" i="1"/>
  <c r="Q85" i="1"/>
  <c r="O57" i="1"/>
  <c r="O63" i="1"/>
  <c r="O62" i="1"/>
  <c r="O65" i="1"/>
  <c r="O64" i="1"/>
  <c r="K62" i="1"/>
  <c r="K63" i="1"/>
  <c r="K65" i="1"/>
  <c r="K57" i="1"/>
  <c r="K64" i="1"/>
  <c r="BC61" i="1"/>
  <c r="I57" i="1"/>
  <c r="I65" i="1"/>
  <c r="I64" i="1"/>
  <c r="I62" i="1"/>
  <c r="I63" i="1"/>
  <c r="F62" i="1"/>
  <c r="F64" i="1"/>
  <c r="F63" i="1"/>
  <c r="F81" i="1"/>
  <c r="F57" i="1"/>
  <c r="F34" i="1"/>
  <c r="H78" i="1"/>
  <c r="AT78" i="1" s="1"/>
  <c r="BD61" i="1"/>
  <c r="H75" i="1"/>
  <c r="AT75" i="1" s="1"/>
  <c r="F75" i="1"/>
  <c r="F76" i="1" s="1"/>
  <c r="F77" i="1" s="1"/>
  <c r="P75" i="1"/>
  <c r="P76" i="1" s="1"/>
  <c r="P77" i="1" s="1"/>
  <c r="H34" i="1"/>
  <c r="H35" i="1" s="1"/>
  <c r="H36" i="1" s="1"/>
  <c r="H42" i="1"/>
  <c r="AT42" i="1" s="1"/>
  <c r="AR61" i="1"/>
  <c r="R34" i="1"/>
  <c r="BD34" i="1" s="1"/>
  <c r="F74" i="1"/>
  <c r="R75" i="1"/>
  <c r="BD75" i="1" s="1"/>
  <c r="P34" i="1"/>
  <c r="P35" i="1" s="1"/>
  <c r="P36" i="1" s="1"/>
  <c r="P85" i="1"/>
  <c r="P84" i="1"/>
  <c r="F42" i="1"/>
  <c r="AR42" i="1" s="1"/>
  <c r="AR33" i="1"/>
  <c r="F65" i="1"/>
  <c r="BA57" i="1"/>
  <c r="AX75" i="1"/>
  <c r="AW61" i="1"/>
  <c r="K75" i="1"/>
  <c r="K74" i="1"/>
  <c r="AW74" i="1" s="1"/>
  <c r="K34" i="1"/>
  <c r="K42" i="1"/>
  <c r="BC75" i="1"/>
  <c r="Q76" i="1"/>
  <c r="Q77" i="1" s="1"/>
  <c r="I75" i="1"/>
  <c r="I76" i="1" s="1"/>
  <c r="I77" i="1" s="1"/>
  <c r="I74" i="1"/>
  <c r="AU74" i="1" s="1"/>
  <c r="AS80" i="1"/>
  <c r="AX80" i="1"/>
  <c r="O75" i="1"/>
  <c r="O76" i="1" s="1"/>
  <c r="O77" i="1" s="1"/>
  <c r="O74" i="1"/>
  <c r="AZ74" i="1" s="1"/>
  <c r="BB80" i="1"/>
  <c r="AR80" i="1"/>
  <c r="BD80" i="1"/>
  <c r="BF16" i="1"/>
  <c r="M35" i="1"/>
  <c r="M36" i="1" s="1"/>
  <c r="AY34" i="1"/>
  <c r="AU61" i="1"/>
  <c r="AZ61" i="1"/>
  <c r="AX34" i="1"/>
  <c r="L35" i="1"/>
  <c r="L36" i="1" s="1"/>
  <c r="O42" i="1"/>
  <c r="O34" i="1"/>
  <c r="AX65" i="1"/>
  <c r="I42" i="1"/>
  <c r="I34" i="1"/>
  <c r="L59" i="1" l="1"/>
  <c r="L60" i="1"/>
  <c r="N50" i="1"/>
  <c r="F28" i="13"/>
  <c r="E28" i="13"/>
  <c r="D28" i="13"/>
  <c r="C28" i="13"/>
  <c r="B39" i="13"/>
  <c r="N35" i="1"/>
  <c r="N36" i="1" s="1"/>
  <c r="B53" i="13"/>
  <c r="B52" i="13"/>
  <c r="B61" i="13"/>
  <c r="B59" i="13"/>
  <c r="B65" i="13"/>
  <c r="E58" i="13"/>
  <c r="C58" i="13"/>
  <c r="D58" i="13"/>
  <c r="B29" i="13"/>
  <c r="N53" i="1"/>
  <c r="N54" i="1" s="1"/>
  <c r="AX57" i="1"/>
  <c r="N76" i="1"/>
  <c r="N77" i="1" s="1"/>
  <c r="N52" i="1"/>
  <c r="M67" i="1"/>
  <c r="M68" i="1"/>
  <c r="AY65" i="1"/>
  <c r="M76" i="1"/>
  <c r="M77" i="1" s="1"/>
  <c r="AY57" i="1"/>
  <c r="M60" i="1"/>
  <c r="M59" i="1"/>
  <c r="M49" i="1"/>
  <c r="M52" i="1" s="1"/>
  <c r="G59" i="1"/>
  <c r="G60" i="1"/>
  <c r="G58" i="1"/>
  <c r="G49" i="1"/>
  <c r="AS49" i="1" s="1"/>
  <c r="AS87" i="1" s="1"/>
  <c r="G67" i="1"/>
  <c r="BE33" i="1"/>
  <c r="G68" i="1"/>
  <c r="G66" i="1"/>
  <c r="J76" i="1"/>
  <c r="J77" i="1" s="1"/>
  <c r="J35" i="1"/>
  <c r="J36" i="1" s="1"/>
  <c r="BC34" i="1"/>
  <c r="R66" i="1"/>
  <c r="R67" i="1"/>
  <c r="R68" i="1"/>
  <c r="R59" i="1"/>
  <c r="R49" i="1"/>
  <c r="BD49" i="1" s="1"/>
  <c r="BD87" i="1" s="1"/>
  <c r="R58" i="1"/>
  <c r="R60" i="1"/>
  <c r="P52" i="1"/>
  <c r="P51" i="1"/>
  <c r="P53" i="1"/>
  <c r="P50" i="1"/>
  <c r="H76" i="1"/>
  <c r="H77" i="1" s="1"/>
  <c r="F78" i="1"/>
  <c r="AR78" i="1" s="1"/>
  <c r="BE78" i="1" s="1"/>
  <c r="BF78" i="1" s="1"/>
  <c r="AR34" i="1"/>
  <c r="AR75" i="1"/>
  <c r="Q68" i="1"/>
  <c r="Q66" i="1"/>
  <c r="Q67" i="1"/>
  <c r="I66" i="1"/>
  <c r="I67" i="1"/>
  <c r="I68" i="1"/>
  <c r="J66" i="1"/>
  <c r="J67" i="1"/>
  <c r="J68" i="1"/>
  <c r="I49" i="1"/>
  <c r="I59" i="1"/>
  <c r="I58" i="1"/>
  <c r="I60" i="1"/>
  <c r="O68" i="1"/>
  <c r="O66" i="1"/>
  <c r="O67" i="1"/>
  <c r="J49" i="1"/>
  <c r="AV49" i="1" s="1"/>
  <c r="J59" i="1"/>
  <c r="J58" i="1"/>
  <c r="J60" i="1"/>
  <c r="Q59" i="1"/>
  <c r="Q49" i="1"/>
  <c r="BC49" i="1" s="1"/>
  <c r="Q58" i="1"/>
  <c r="Q60" i="1"/>
  <c r="F35" i="1"/>
  <c r="F36" i="1" s="1"/>
  <c r="K58" i="1"/>
  <c r="K60" i="1"/>
  <c r="K49" i="1"/>
  <c r="K59" i="1"/>
  <c r="O49" i="1"/>
  <c r="O59" i="1"/>
  <c r="O58" i="1"/>
  <c r="O60" i="1"/>
  <c r="H66" i="1"/>
  <c r="H68" i="1"/>
  <c r="H67" i="1"/>
  <c r="L50" i="1"/>
  <c r="L52" i="1"/>
  <c r="L53" i="1"/>
  <c r="L51" i="1"/>
  <c r="K66" i="1"/>
  <c r="K67" i="1"/>
  <c r="K68" i="1"/>
  <c r="H49" i="1"/>
  <c r="H59" i="1"/>
  <c r="H58" i="1"/>
  <c r="H60" i="1"/>
  <c r="F49" i="1"/>
  <c r="F59" i="1"/>
  <c r="F60" i="1"/>
  <c r="F58" i="1"/>
  <c r="AR57" i="1"/>
  <c r="F67" i="1"/>
  <c r="F68" i="1"/>
  <c r="F66" i="1"/>
  <c r="BA49" i="1"/>
  <c r="AR74" i="1"/>
  <c r="BE74" i="1" s="1"/>
  <c r="BF73" i="1" s="1"/>
  <c r="AX49" i="1"/>
  <c r="AT34" i="1"/>
  <c r="R76" i="1"/>
  <c r="R77" i="1" s="1"/>
  <c r="F82" i="1"/>
  <c r="F83" i="1" s="1"/>
  <c r="AR65" i="1"/>
  <c r="AT65" i="1"/>
  <c r="AZ57" i="1"/>
  <c r="BA80" i="1"/>
  <c r="BE42" i="1"/>
  <c r="BF41" i="1" s="1"/>
  <c r="R35" i="1"/>
  <c r="R36" i="1" s="1"/>
  <c r="BB34" i="1"/>
  <c r="BB49" i="1"/>
  <c r="BB57" i="1"/>
  <c r="AU57" i="1"/>
  <c r="AT80" i="1"/>
  <c r="AY80" i="1"/>
  <c r="AV80" i="1"/>
  <c r="K35" i="1"/>
  <c r="K36" i="1" s="1"/>
  <c r="AW34" i="1"/>
  <c r="K76" i="1"/>
  <c r="K77" i="1" s="1"/>
  <c r="AW75" i="1"/>
  <c r="AU75" i="1"/>
  <c r="BC80" i="1"/>
  <c r="AW65" i="1"/>
  <c r="BE61" i="1"/>
  <c r="AW57" i="1"/>
  <c r="AZ75" i="1"/>
  <c r="AU80" i="1"/>
  <c r="AZ80" i="1"/>
  <c r="AZ34" i="1"/>
  <c r="O35" i="1"/>
  <c r="O36" i="1" s="1"/>
  <c r="AU34" i="1"/>
  <c r="I35" i="1"/>
  <c r="I36" i="1" s="1"/>
  <c r="AU65" i="1"/>
  <c r="AZ65" i="1"/>
  <c r="N55" i="1" l="1"/>
  <c r="B51" i="13"/>
  <c r="F52" i="13"/>
  <c r="C52" i="13"/>
  <c r="E52" i="13"/>
  <c r="D52" i="13"/>
  <c r="D59" i="13"/>
  <c r="E59" i="13"/>
  <c r="C59" i="13"/>
  <c r="E53" i="13"/>
  <c r="F53" i="13"/>
  <c r="C53" i="13"/>
  <c r="D53" i="13"/>
  <c r="E29" i="13"/>
  <c r="F29" i="13"/>
  <c r="D29" i="13"/>
  <c r="C29" i="13"/>
  <c r="N56" i="1"/>
  <c r="AX87" i="1"/>
  <c r="M50" i="1"/>
  <c r="M53" i="1"/>
  <c r="M54" i="1" s="1"/>
  <c r="AY49" i="1"/>
  <c r="AY87" i="1" s="1"/>
  <c r="M51" i="1"/>
  <c r="G52" i="1"/>
  <c r="G53" i="1"/>
  <c r="G56" i="1" s="1"/>
  <c r="G50" i="1"/>
  <c r="G51" i="1"/>
  <c r="BA87" i="1"/>
  <c r="R53" i="1"/>
  <c r="R51" i="1"/>
  <c r="R50" i="1"/>
  <c r="R52" i="1"/>
  <c r="P56" i="1"/>
  <c r="P55" i="1"/>
  <c r="P54" i="1"/>
  <c r="H50" i="1"/>
  <c r="H52" i="1"/>
  <c r="H51" i="1"/>
  <c r="H53" i="1"/>
  <c r="I51" i="1"/>
  <c r="I53" i="1"/>
  <c r="I52" i="1"/>
  <c r="I50" i="1"/>
  <c r="L55" i="1"/>
  <c r="L54" i="1"/>
  <c r="L56" i="1"/>
  <c r="J51" i="1"/>
  <c r="J53" i="1"/>
  <c r="J50" i="1"/>
  <c r="J52" i="1"/>
  <c r="K51" i="1"/>
  <c r="K50" i="1"/>
  <c r="K53" i="1"/>
  <c r="K52" i="1"/>
  <c r="O51" i="1"/>
  <c r="O53" i="1"/>
  <c r="O52" i="1"/>
  <c r="O50" i="1"/>
  <c r="Q50" i="1"/>
  <c r="Q51" i="1"/>
  <c r="Q53" i="1"/>
  <c r="Q52" i="1"/>
  <c r="M56" i="1"/>
  <c r="AT49" i="1"/>
  <c r="AT87" i="1" s="1"/>
  <c r="F51" i="1"/>
  <c r="F52" i="1"/>
  <c r="F50" i="1"/>
  <c r="F53" i="1"/>
  <c r="AR49" i="1"/>
  <c r="AU49" i="1"/>
  <c r="AU87" i="1" s="1"/>
  <c r="F85" i="1"/>
  <c r="AR85" i="1" s="1"/>
  <c r="BE85" i="1" s="1"/>
  <c r="BF85" i="1" s="1"/>
  <c r="F84" i="1"/>
  <c r="AR84" i="1" s="1"/>
  <c r="BE84" i="1" s="1"/>
  <c r="BF84" i="1" s="1"/>
  <c r="AR83" i="1"/>
  <c r="BE83" i="1" s="1"/>
  <c r="BB87" i="1"/>
  <c r="BE57" i="1"/>
  <c r="BE75" i="1"/>
  <c r="AZ49" i="1"/>
  <c r="AZ87" i="1" s="1"/>
  <c r="BE34" i="1"/>
  <c r="BF32" i="1" s="1"/>
  <c r="BI32" i="1" s="1"/>
  <c r="AV87" i="1"/>
  <c r="BC87" i="1"/>
  <c r="AW80" i="1"/>
  <c r="BE80" i="1" s="1"/>
  <c r="AW49" i="1"/>
  <c r="BE65" i="1"/>
  <c r="M55" i="1" l="1"/>
  <c r="F51" i="13"/>
  <c r="C51" i="13"/>
  <c r="D51" i="13"/>
  <c r="E51" i="13"/>
  <c r="G54" i="1"/>
  <c r="G55" i="1"/>
  <c r="R55" i="1"/>
  <c r="R54" i="1"/>
  <c r="R56" i="1"/>
  <c r="I54" i="1"/>
  <c r="I56" i="1"/>
  <c r="I55" i="1"/>
  <c r="Q55" i="1"/>
  <c r="Q54" i="1"/>
  <c r="Q56" i="1"/>
  <c r="O55" i="1"/>
  <c r="O54" i="1"/>
  <c r="O56" i="1"/>
  <c r="J55" i="1"/>
  <c r="J54" i="1"/>
  <c r="J56" i="1"/>
  <c r="H54" i="1"/>
  <c r="H55" i="1"/>
  <c r="H56" i="1"/>
  <c r="K55" i="1"/>
  <c r="K54" i="1"/>
  <c r="K56" i="1"/>
  <c r="F55" i="1"/>
  <c r="F54" i="1"/>
  <c r="F56" i="1"/>
  <c r="BF80" i="1"/>
  <c r="AR87" i="1"/>
  <c r="BE49" i="1"/>
  <c r="BF49" i="1" s="1"/>
  <c r="BF87" i="1" s="1"/>
  <c r="BH88" i="1" s="1"/>
  <c r="AW87" i="1"/>
  <c r="BE87" i="1" l="1"/>
  <c r="V23" i="1"/>
  <c r="V30" i="1" s="1"/>
  <c r="V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Bayu Putera</author>
  </authors>
  <commentList>
    <comment ref="A27" authorId="0" shapeId="0" xr:uid="{DBB91803-46FD-224B-9D28-86A661A936DD}">
      <text>
        <r>
          <rPr>
            <sz val="9"/>
            <color indexed="81"/>
            <rFont val="Tahoma"/>
            <family val="2"/>
          </rPr>
          <t>Jika bermaksud menggunakan rate tertinggi adalah di level productive, mohon tetap di isi di new, dengan mengganti penamaan 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Bayu Putera</author>
    <author>Andi Krisnatha</author>
  </authors>
  <commentList>
    <comment ref="AP11" authorId="0" shapeId="0" xr:uid="{FCAE2E94-B5BB-42F1-B673-D1E63623A9F3}">
      <text>
        <r>
          <rPr>
            <b/>
            <sz val="9"/>
            <color rgb="FF000000"/>
            <rFont val="Tahoma"/>
            <family val="2"/>
          </rPr>
          <t>Bayu Putera: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Total budget room available dlm setahun</t>
        </r>
      </text>
    </comment>
    <comment ref="AP15" authorId="0" shapeId="0" xr:uid="{FA5AE460-41C8-4372-80FB-6D73094FFFBF}">
      <text>
        <r>
          <rPr>
            <b/>
            <sz val="9"/>
            <color rgb="FF000000"/>
            <rFont val="Tahoma"/>
            <family val="2"/>
          </rPr>
          <t>Bayu Putera: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Minimal harus sesuai dengan angka budget room sold</t>
        </r>
      </text>
    </comment>
    <comment ref="B50" authorId="1" shapeId="0" xr:uid="{9F90EB9B-5C1A-0B4C-964A-2CE11E331508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 June - 30 June
</t>
        </r>
        <r>
          <rPr>
            <sz val="9"/>
            <color rgb="FF000000"/>
            <rFont val="Calibri"/>
            <family val="2"/>
          </rPr>
          <t xml:space="preserve">1 September - 30 September
</t>
        </r>
      </text>
    </comment>
    <comment ref="B51" authorId="1" shapeId="0" xr:uid="{E7011794-B4AE-3249-9EC8-100C9E8354BD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26 March – 7 April
</t>
        </r>
        <r>
          <rPr>
            <sz val="9"/>
            <color rgb="FF000000"/>
            <rFont val="Calibri"/>
            <family val="2"/>
          </rPr>
          <t>1 July - 31 August</t>
        </r>
      </text>
    </comment>
    <comment ref="B52" authorId="1" shapeId="0" xr:uid="{29970517-38DE-F340-8067-A078C750555B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23 December – 5 January
</t>
        </r>
      </text>
    </comment>
    <comment ref="B54" authorId="1" shapeId="0" xr:uid="{1633890A-F9D4-2B4D-A3BA-5EC322ABABAC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 June - 30 June
</t>
        </r>
        <r>
          <rPr>
            <sz val="9"/>
            <color rgb="FF000000"/>
            <rFont val="Calibri"/>
            <family val="2"/>
          </rPr>
          <t xml:space="preserve">1 September - 30 September
</t>
        </r>
      </text>
    </comment>
    <comment ref="B55" authorId="1" shapeId="0" xr:uid="{72F17691-5C61-904E-8CE9-5009A4BA39A6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26 March – 7 April
</t>
        </r>
        <r>
          <rPr>
            <sz val="9"/>
            <color rgb="FF000000"/>
            <rFont val="Calibri"/>
            <family val="2"/>
          </rPr>
          <t>1 July - 31 August</t>
        </r>
      </text>
    </comment>
    <comment ref="B56" authorId="1" shapeId="0" xr:uid="{D32883FD-8561-824E-8F58-C383DF57AC6E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23 December – 5 January
</t>
        </r>
      </text>
    </comment>
    <comment ref="B58" authorId="1" shapeId="0" xr:uid="{97016D92-B9AE-BC43-8F06-B669056B3F74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 June - 30 June
</t>
        </r>
        <r>
          <rPr>
            <sz val="9"/>
            <color rgb="FF000000"/>
            <rFont val="Calibri"/>
            <family val="2"/>
          </rPr>
          <t xml:space="preserve">1 September - 30 September
</t>
        </r>
      </text>
    </comment>
    <comment ref="B59" authorId="1" shapeId="0" xr:uid="{DD054EDD-3F78-084E-B167-F9B81EB4D4EB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26 March – 7 April
</t>
        </r>
        <r>
          <rPr>
            <sz val="9"/>
            <color rgb="FF000000"/>
            <rFont val="Calibri"/>
            <family val="2"/>
          </rPr>
          <t>1 July - 31 August</t>
        </r>
      </text>
    </comment>
    <comment ref="B60" authorId="1" shapeId="0" xr:uid="{36F0DB5A-BB3E-2B41-8574-C249ACF268FF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23 December – 5 January
</t>
        </r>
      </text>
    </comment>
    <comment ref="B62" authorId="1" shapeId="0" xr:uid="{2F778AA4-A754-6445-B327-701D2C81C9A8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 June - 30 June
</t>
        </r>
        <r>
          <rPr>
            <sz val="9"/>
            <color rgb="FF000000"/>
            <rFont val="Calibri"/>
            <family val="2"/>
          </rPr>
          <t xml:space="preserve">1 September - 30 September
</t>
        </r>
      </text>
    </comment>
    <comment ref="B63" authorId="1" shapeId="0" xr:uid="{10F735A7-A69A-6D46-9B01-F63EC67A1F11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26 March – 7 April
</t>
        </r>
        <r>
          <rPr>
            <sz val="9"/>
            <color rgb="FF000000"/>
            <rFont val="Calibri"/>
            <family val="2"/>
          </rPr>
          <t>1 July - 31 August</t>
        </r>
      </text>
    </comment>
    <comment ref="B64" authorId="1" shapeId="0" xr:uid="{3478F779-D253-4CEE-8BCF-3BD787ADB3C4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23 December – 5 January
</t>
        </r>
      </text>
    </comment>
    <comment ref="B66" authorId="1" shapeId="0" xr:uid="{49CBF092-F5DE-AE4F-B063-968BD0A0951D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 June - 30 June
</t>
        </r>
        <r>
          <rPr>
            <sz val="9"/>
            <color rgb="FF000000"/>
            <rFont val="Calibri"/>
            <family val="2"/>
          </rPr>
          <t xml:space="preserve">1 September - 30 September
</t>
        </r>
      </text>
    </comment>
    <comment ref="B67" authorId="1" shapeId="0" xr:uid="{1644CB93-D393-E84F-953B-48A1B81AE537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  <scheme val="minor"/>
          </rPr>
          <t>26</t>
        </r>
        <r>
          <rPr>
            <sz val="9"/>
            <color rgb="FF000000"/>
            <rFont val="Calibri"/>
            <family val="2"/>
            <scheme val="minor"/>
          </rPr>
          <t xml:space="preserve"> </t>
        </r>
        <r>
          <rPr>
            <sz val="9"/>
            <color rgb="FF000000"/>
            <rFont val="Calibri"/>
            <family val="2"/>
            <scheme val="minor"/>
          </rPr>
          <t xml:space="preserve">March – 7 April
</t>
        </r>
        <r>
          <rPr>
            <sz val="9"/>
            <color rgb="FF000000"/>
            <rFont val="Calibri"/>
            <family val="2"/>
            <scheme val="minor"/>
          </rPr>
          <t>1 July - 31 August</t>
        </r>
      </text>
    </comment>
    <comment ref="B68" authorId="1" shapeId="0" xr:uid="{B0F1A19F-FC66-CC4F-88CB-6DEE11F892C0}">
      <text>
        <r>
          <rPr>
            <b/>
            <sz val="9"/>
            <color rgb="FF000000"/>
            <rFont val="Tahoma"/>
            <family val="2"/>
          </rPr>
          <t>Andi Krisnatha: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23 December – 5 January
</t>
        </r>
      </text>
    </comment>
    <comment ref="Y87" authorId="0" shapeId="0" xr:uid="{56C1CF00-114D-46FB-BD5A-F8BEFD45F37F}">
      <text>
        <r>
          <rPr>
            <b/>
            <sz val="9"/>
            <color rgb="FF000000"/>
            <rFont val="Tahoma"/>
            <family val="2"/>
          </rPr>
          <t>Bayu Putera: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Maksimal 100%</t>
        </r>
      </text>
    </comment>
    <comment ref="AC87" authorId="0" shapeId="0" xr:uid="{B9BAD9CB-DF5E-480C-8FC5-D60648800DB6}">
      <text>
        <r>
          <rPr>
            <b/>
            <sz val="9"/>
            <color rgb="FF000000"/>
            <rFont val="Tahoma"/>
            <family val="2"/>
          </rPr>
          <t>Bayu Putera: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Maksimal angka sama dengan row 13</t>
        </r>
      </text>
    </comment>
  </commentList>
</comments>
</file>

<file path=xl/sharedStrings.xml><?xml version="1.0" encoding="utf-8"?>
<sst xmlns="http://schemas.openxmlformats.org/spreadsheetml/2006/main" count="326" uniqueCount="207">
  <si>
    <t>The Anvaya Beach Resort Bali</t>
  </si>
  <si>
    <r>
      <t>RATE STRUCTURE</t>
    </r>
    <r>
      <rPr>
        <sz val="9"/>
        <color indexed="8"/>
        <rFont val="Arial"/>
        <family val="2"/>
      </rPr>
      <t xml:space="preserve">  I  RATE STRATEGY I  </t>
    </r>
    <r>
      <rPr>
        <sz val="9"/>
        <color indexed="23"/>
        <rFont val="Arial"/>
        <family val="2"/>
      </rPr>
      <t>budget format Santika Indonesia Hotels &amp; Resorts</t>
    </r>
  </si>
  <si>
    <t>Rate</t>
  </si>
  <si>
    <t>Hotel Unit</t>
  </si>
  <si>
    <t>:</t>
  </si>
  <si>
    <t>B'fast Rate</t>
  </si>
  <si>
    <t>Updated</t>
  </si>
  <si>
    <t>Double Occ</t>
  </si>
  <si>
    <t>spc. Arrangement</t>
  </si>
  <si>
    <t>benefit 1</t>
  </si>
  <si>
    <t>benefit 2</t>
  </si>
  <si>
    <t>benefit 3</t>
  </si>
  <si>
    <t>benefit 4</t>
  </si>
  <si>
    <t>benefit 5</t>
  </si>
  <si>
    <t>benefit 6</t>
  </si>
  <si>
    <t>benefit 7</t>
  </si>
  <si>
    <t>bisa di input sama</t>
  </si>
  <si>
    <t>RATE STRUCTURE TO BUDGET ACHIEVEMENT</t>
  </si>
  <si>
    <t>BUSINESS MIX TO BUDGET ACHIEVEMENT</t>
  </si>
  <si>
    <r>
      <t xml:space="preserve">REVENUE ACHIEVEMENT </t>
    </r>
    <r>
      <rPr>
        <i/>
        <sz val="10"/>
        <rFont val="Arial"/>
        <family val="2"/>
      </rPr>
      <t>( nett )</t>
    </r>
  </si>
  <si>
    <t>R. Type</t>
  </si>
  <si>
    <t>Deluxe Room</t>
  </si>
  <si>
    <t>Deluxe Pool Access</t>
  </si>
  <si>
    <t>Premiere Room</t>
  </si>
  <si>
    <t>Premiere Lagoon Access</t>
  </si>
  <si>
    <t>Family Premiere</t>
  </si>
  <si>
    <t>Deluxe Suite</t>
  </si>
  <si>
    <t>Premiere Suite</t>
  </si>
  <si>
    <t>The Anvaya Suite No Pool</t>
  </si>
  <si>
    <t>The Anvaya Suite Whirl Pool</t>
  </si>
  <si>
    <t>Beach Front Private Suite</t>
  </si>
  <si>
    <t>Anvaya Residence</t>
  </si>
  <si>
    <t>The Anvaya Suite with Pool</t>
  </si>
  <si>
    <t>The Anvaya Villa</t>
  </si>
  <si>
    <t>Rate Segment Mix</t>
  </si>
  <si>
    <t>Budget Market Segment Mix</t>
  </si>
  <si>
    <t>Last Year Market Segment Mix</t>
  </si>
  <si>
    <t>Total Revenue</t>
  </si>
  <si>
    <t>Publish</t>
  </si>
  <si>
    <t>R. Avail</t>
  </si>
  <si>
    <t>incl. benefit 1</t>
  </si>
  <si>
    <t>incl. benefit 2</t>
  </si>
  <si>
    <t>incl. benefit 3</t>
  </si>
  <si>
    <t>incl. benefit 4</t>
  </si>
  <si>
    <t>incl. benefit 5</t>
  </si>
  <si>
    <t>Share</t>
  </si>
  <si>
    <t>R. Sold</t>
  </si>
  <si>
    <t>Total per segment</t>
  </si>
  <si>
    <t>budget per segment</t>
  </si>
  <si>
    <t>Internet Rate / WIG Rate / BAR 1</t>
  </si>
  <si>
    <t>BUDGET</t>
  </si>
  <si>
    <t>FIT + Online</t>
  </si>
  <si>
    <t>Online Share</t>
  </si>
  <si>
    <t>Internet Rate / WIG Rate / BAR 2</t>
  </si>
  <si>
    <t>Room Sold</t>
  </si>
  <si>
    <t>Online Revenue</t>
  </si>
  <si>
    <t>Internet Rate / WIG Rate / BAR 3</t>
  </si>
  <si>
    <t>Room Revenue</t>
  </si>
  <si>
    <t>AVG OTA Comm Level</t>
  </si>
  <si>
    <t>Internet Rate / WIG Rate / BAR 4</t>
  </si>
  <si>
    <t>Average Room Rate</t>
  </si>
  <si>
    <t>OTA Comm</t>
  </si>
  <si>
    <t>Internet Rate / WIG Rate / BAR 5</t>
  </si>
  <si>
    <t>OTA + FIT Revenue</t>
  </si>
  <si>
    <t>Internet Rate / WIG Rate / BAR 6</t>
  </si>
  <si>
    <t>RATE STRUCTURE RESULT :</t>
  </si>
  <si>
    <t>Internet Rate / WIG Rate / BAR 7</t>
  </si>
  <si>
    <t>Internet Rate / WIG Rate / BAR 8</t>
  </si>
  <si>
    <t>Internet Rate / WIG Rate / BAR 9</t>
  </si>
  <si>
    <t>Internet Rate / WIG Rate / BAR 10</t>
  </si>
  <si>
    <t>Loyalti Program - My Value dan Kerjasama Merchant</t>
  </si>
  <si>
    <t>BAR APPLIED</t>
  </si>
  <si>
    <t>Staycation Offer</t>
  </si>
  <si>
    <t>VARIANCE</t>
  </si>
  <si>
    <t>Flexible Staycation Offer</t>
  </si>
  <si>
    <t>EBO</t>
  </si>
  <si>
    <t>GAP</t>
  </si>
  <si>
    <t>Corporate New</t>
  </si>
  <si>
    <t>Corp</t>
  </si>
  <si>
    <t>Corporate Productive</t>
  </si>
  <si>
    <t>Corporate Super Productive</t>
  </si>
  <si>
    <t>NKA</t>
  </si>
  <si>
    <t>Corporate Preffered 2 (ad hoc - based)</t>
  </si>
  <si>
    <t>Corporate Preffered 3</t>
  </si>
  <si>
    <t>Corporate Preffered 4</t>
  </si>
  <si>
    <t>Corporate Promotion 1</t>
  </si>
  <si>
    <t>Corporate Promotion 2</t>
  </si>
  <si>
    <t>Government New</t>
  </si>
  <si>
    <t>Govt</t>
  </si>
  <si>
    <t>Government Productive</t>
  </si>
  <si>
    <t>SBM</t>
  </si>
  <si>
    <t>Government Super Productive</t>
  </si>
  <si>
    <t>Government Preferred 1</t>
  </si>
  <si>
    <t>Government Preferred 2</t>
  </si>
  <si>
    <t>Government Preferred 3</t>
  </si>
  <si>
    <t>Government Preferred 4</t>
  </si>
  <si>
    <t>Travel Agent New Domestic</t>
  </si>
  <si>
    <t>TA</t>
  </si>
  <si>
    <t>Shoulder</t>
  </si>
  <si>
    <t>High</t>
  </si>
  <si>
    <t>Peak</t>
  </si>
  <si>
    <t>Travel Agent Productive Domestic</t>
  </si>
  <si>
    <t>Travel Agent Wholesales Domestic</t>
  </si>
  <si>
    <t>WW</t>
  </si>
  <si>
    <t>EU, S. Africa,CIS</t>
  </si>
  <si>
    <t>Domestic / Prefered</t>
  </si>
  <si>
    <t>Travel Agent Preferred 4</t>
  </si>
  <si>
    <t>Travel Agent Promotion 1</t>
  </si>
  <si>
    <t>Travel Agent Promotion 2</t>
  </si>
  <si>
    <t xml:space="preserve">KKG - Personal Visit </t>
  </si>
  <si>
    <t>KKG</t>
  </si>
  <si>
    <t>KKG - Relasi</t>
  </si>
  <si>
    <t>Owner Rate</t>
  </si>
  <si>
    <t>GOHR DLK - Single Occupancy</t>
  </si>
  <si>
    <t>GOHR DLK - Double Occupancy</t>
  </si>
  <si>
    <t>GROUP SERIES</t>
  </si>
  <si>
    <t>Group</t>
  </si>
  <si>
    <t>GROUP / Conference Price Points:</t>
  </si>
  <si>
    <t>Price Point 1</t>
  </si>
  <si>
    <t>MICE</t>
  </si>
  <si>
    <t>Price Point 2</t>
  </si>
  <si>
    <t>Price Point 3</t>
  </si>
  <si>
    <t>Price Point 4</t>
  </si>
  <si>
    <t>Group Adhoc</t>
  </si>
  <si>
    <t>Adhoc</t>
  </si>
  <si>
    <t>Package</t>
  </si>
  <si>
    <t>Extra Bed</t>
  </si>
  <si>
    <t>VAR</t>
  </si>
  <si>
    <t>Corporate</t>
  </si>
  <si>
    <t>Isi besaran discount hanya pada bagian yang berwarna abu-abu
Promo tidak harus diisi seluruhnya, sesuaikan dengan kebutuhan hotel (weekend offer &amp; min stay bersifat optional)</t>
  </si>
  <si>
    <r>
      <t>RATE STRUCTURE</t>
    </r>
    <r>
      <rPr>
        <sz val="9"/>
        <color indexed="8"/>
        <rFont val="Arial"/>
        <family val="2"/>
      </rPr>
      <t xml:space="preserve">  I  RATE SIMULASI I  </t>
    </r>
    <r>
      <rPr>
        <sz val="9"/>
        <color indexed="23"/>
        <rFont val="Arial"/>
        <family val="2"/>
      </rPr>
      <t>format hitung budget Room OCC &amp; Revenue - Santika Indonesia Hotels &amp; Resorts</t>
    </r>
  </si>
  <si>
    <t>Additional Disc :</t>
  </si>
  <si>
    <t>Online Travel Agent</t>
  </si>
  <si>
    <t>Brand.com</t>
  </si>
  <si>
    <t>Rate Structure</t>
  </si>
  <si>
    <t>Lowest Room Type Category</t>
  </si>
  <si>
    <t>Generic Promotion</t>
  </si>
  <si>
    <t>Publish Rate - Non member</t>
  </si>
  <si>
    <t>MyValue Rate</t>
  </si>
  <si>
    <t>EBO 60</t>
  </si>
  <si>
    <t>Internet Rate / WIG Rate / BAR 11</t>
  </si>
  <si>
    <t>Bottom Online BAR Rate</t>
  </si>
  <si>
    <t>Corporate Promotion</t>
  </si>
  <si>
    <t>Harga ini adalah harga kontrak 1 thn</t>
  </si>
  <si>
    <t>Shourlder</t>
  </si>
  <si>
    <t>Corporate New/NCR</t>
  </si>
  <si>
    <t>BAR akan menyesuaikan dengan Season. BAR 1-4 akan di apply pada periode High dan Peak Season</t>
  </si>
  <si>
    <t>Corporate Super Productive/NKA</t>
  </si>
  <si>
    <t xml:space="preserve">KKG - DLK </t>
  </si>
  <si>
    <t xml:space="preserve">Corporate Preffered </t>
  </si>
  <si>
    <t xml:space="preserve">Corporate With Inclusion 1 </t>
  </si>
  <si>
    <r>
      <t xml:space="preserve">Harga Corporate include (laundry, transport, etc ) namun bukan package untuk </t>
    </r>
    <r>
      <rPr>
        <b/>
        <sz val="10"/>
        <rFont val="Arial"/>
        <family val="2"/>
      </rPr>
      <t>umum</t>
    </r>
  </si>
  <si>
    <t>Corporate With Inclusion 2</t>
  </si>
  <si>
    <t>Corporate With Inclusion 3</t>
  </si>
  <si>
    <t>Corporate With Inclusion 4</t>
  </si>
  <si>
    <t>Corporate With Inclusion 5</t>
  </si>
  <si>
    <t>Government with Inclusion 1</t>
  </si>
  <si>
    <r>
      <t xml:space="preserve">Harga </t>
    </r>
    <r>
      <rPr>
        <b/>
        <sz val="12"/>
        <rFont val="Arial"/>
        <family val="2"/>
      </rPr>
      <t>Govt include</t>
    </r>
    <r>
      <rPr>
        <sz val="10"/>
        <rFont val="Arial"/>
        <family val="2"/>
      </rPr>
      <t xml:space="preserve"> (laundry, transport, etc ) namun bukan package untuk </t>
    </r>
    <r>
      <rPr>
        <b/>
        <sz val="12"/>
        <rFont val="Arial"/>
        <family val="2"/>
      </rPr>
      <t>umum</t>
    </r>
  </si>
  <si>
    <t>Government with Inclusion 2</t>
  </si>
  <si>
    <t>Government with Inclusion 3</t>
  </si>
  <si>
    <t>Government with Inclusion 4</t>
  </si>
  <si>
    <t>Travel Agent Promotion</t>
  </si>
  <si>
    <t>Travel Agent New</t>
  </si>
  <si>
    <t>Travel Agent Productive</t>
  </si>
  <si>
    <t>Travel Agent Wholesale</t>
  </si>
  <si>
    <t>Travel Agent Preffered 1</t>
  </si>
  <si>
    <t>Travel Agent Preffered 2</t>
  </si>
  <si>
    <t>Tactical</t>
  </si>
  <si>
    <t>Tactical Rate akan dikeluarkan untuk specific market dan menyesuaikan dengan kebutuhan hotel unutk periode tertentu dan market tertentu.</t>
  </si>
  <si>
    <t>Travel Agent - Inbound World Wide</t>
  </si>
  <si>
    <t>Travel Agent - Inbound EU,UK</t>
  </si>
  <si>
    <r>
      <t xml:space="preserve">harga KKG personal visit maupun relasi </t>
    </r>
    <r>
      <rPr>
        <b/>
        <sz val="10"/>
        <color rgb="FFFF0000"/>
        <rFont val="Arial"/>
        <family val="2"/>
      </rPr>
      <t xml:space="preserve">harus </t>
    </r>
    <r>
      <rPr>
        <sz val="10"/>
        <color rgb="FFFF0000"/>
        <rFont val="Arial"/>
        <family val="2"/>
      </rPr>
      <t>dibawah harga online, bisa dengan harga travel agent new</t>
    </r>
  </si>
  <si>
    <r>
      <t xml:space="preserve">harga owner, </t>
    </r>
    <r>
      <rPr>
        <b/>
        <sz val="10"/>
        <color rgb="FFFF0000"/>
        <rFont val="Arial"/>
        <family val="2"/>
      </rPr>
      <t xml:space="preserve">setidaknya sama </t>
    </r>
    <r>
      <rPr>
        <sz val="10"/>
        <color rgb="FFFF0000"/>
        <rFont val="Arial"/>
        <family val="2"/>
      </rPr>
      <t>dengan harga wholesale</t>
    </r>
  </si>
  <si>
    <t>menyesuaikan pagu DLK SIHR, jika 1 kamar di isi sendiri</t>
  </si>
  <si>
    <r>
      <t xml:space="preserve">bisa dikalikan dengan 2x pagu DLK SIHR, </t>
    </r>
    <r>
      <rPr>
        <b/>
        <sz val="10"/>
        <color rgb="FFFF0000"/>
        <rFont val="Arial"/>
        <family val="2"/>
      </rPr>
      <t xml:space="preserve">setidaknya sama </t>
    </r>
    <r>
      <rPr>
        <sz val="10"/>
        <rFont val="Arial"/>
        <family val="2"/>
      </rPr>
      <t xml:space="preserve">dengan harga Corporate, jangan </t>
    </r>
    <r>
      <rPr>
        <b/>
        <sz val="10"/>
        <color rgb="FFFF0000"/>
        <rFont val="Arial"/>
        <family val="2"/>
      </rPr>
      <t xml:space="preserve">lebih mahal apalagi </t>
    </r>
    <r>
      <rPr>
        <sz val="10"/>
        <rFont val="Arial"/>
        <family val="2"/>
      </rPr>
      <t>dengan harga online</t>
    </r>
  </si>
  <si>
    <t>Conference Rate - SMALL - A</t>
  </si>
  <si>
    <t>Conference Rate - LARGE - B</t>
  </si>
  <si>
    <t>Group Adhoc - RBF only</t>
  </si>
  <si>
    <t>Corp/TA - GROUP 1</t>
  </si>
  <si>
    <t>Corp/TA - GROUP 2</t>
  </si>
  <si>
    <t>Corp/TA - GROUP 3</t>
  </si>
  <si>
    <t>Corp/TA - GROUP 4</t>
  </si>
  <si>
    <t>Corp/TA - GROUP 5</t>
  </si>
  <si>
    <t>Corp/TA - GROUP 6</t>
  </si>
  <si>
    <t>Travel Agent - Inbound ADHOC 1</t>
  </si>
  <si>
    <t>Travel Agent - Inbound ADHOC 2</t>
  </si>
  <si>
    <t>Travel Agent - Inbound ADHOC 3</t>
  </si>
  <si>
    <t>Room Type</t>
  </si>
  <si>
    <t>Owner</t>
  </si>
  <si>
    <t>Relasi</t>
  </si>
  <si>
    <t>Normal</t>
  </si>
  <si>
    <t>OTA Net</t>
  </si>
  <si>
    <t>Wholesale Margin</t>
  </si>
  <si>
    <t>Wholesale Net</t>
  </si>
  <si>
    <t>Wholesaler Retail</t>
  </si>
  <si>
    <t>Parity Diff</t>
  </si>
  <si>
    <t>Parity Status</t>
  </si>
  <si>
    <t>BAR - OTA</t>
  </si>
  <si>
    <t>OTA Comission</t>
  </si>
  <si>
    <t>margin Bedbanks</t>
  </si>
  <si>
    <t>Net to Bedbanks</t>
  </si>
  <si>
    <t>OTA GEO</t>
  </si>
  <si>
    <t>OTA GEO NET</t>
  </si>
  <si>
    <t>Hotelbeds - Differential</t>
  </si>
  <si>
    <t xml:space="preserve">Deluxe </t>
  </si>
  <si>
    <t xml:space="preserve">Premiere </t>
  </si>
  <si>
    <t>Premiere with Lagoon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</si>
</sst>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_-* #,##0.00_-;\-* #,##0.00_-;_-* &quot;-&quot;??_-;_-@_-"/>
    <numFmt numFmtId="167" formatCode="_(* #,##0.0_);_(* \(#,##0.0\);_(* &quot;-&quot;??_);_(@_)"/>
  </numFmts>
  <fonts count="8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ourier"/>
      <family val="3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1"/>
      <color theme="1" tint="0.499984740745262"/>
      <name val="Arial"/>
      <family val="2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9"/>
      <color indexed="23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23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rgb="FFFF0000"/>
      <name val="Arial"/>
      <family val="2"/>
    </font>
    <font>
      <b/>
      <u/>
      <sz val="10"/>
      <color indexed="16"/>
      <name val="Arial"/>
      <family val="2"/>
    </font>
    <font>
      <sz val="8"/>
      <color indexed="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color theme="9" tint="0.39997558519241921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9"/>
      <color rgb="FFFF0000"/>
      <name val="Arial"/>
      <family val="2"/>
    </font>
    <font>
      <u/>
      <sz val="9"/>
      <name val="Arial"/>
      <family val="2"/>
    </font>
    <font>
      <b/>
      <u/>
      <sz val="9"/>
      <color indexed="8"/>
      <name val="Arial"/>
      <family val="2"/>
    </font>
    <font>
      <b/>
      <u/>
      <sz val="7"/>
      <color indexed="8"/>
      <name val="Arial"/>
      <family val="2"/>
    </font>
    <font>
      <b/>
      <u/>
      <sz val="9"/>
      <name val="Arial"/>
      <family val="2"/>
    </font>
    <font>
      <b/>
      <u/>
      <sz val="7"/>
      <name val="Arial"/>
      <family val="2"/>
    </font>
    <font>
      <i/>
      <u/>
      <sz val="9"/>
      <color indexed="23"/>
      <name val="Arial"/>
      <family val="2"/>
    </font>
    <font>
      <b/>
      <u/>
      <sz val="9"/>
      <color rgb="FFFF0000"/>
      <name val="Arial"/>
      <family val="2"/>
    </font>
    <font>
      <b/>
      <u/>
      <sz val="7"/>
      <color rgb="FFFF0000"/>
      <name val="Arial"/>
      <family val="2"/>
    </font>
    <font>
      <sz val="9"/>
      <name val="Arial"/>
      <family val="2"/>
    </font>
    <font>
      <u/>
      <sz val="9"/>
      <color indexed="8"/>
      <name val="Arial"/>
      <family val="2"/>
    </font>
    <font>
      <u/>
      <sz val="9"/>
      <color indexed="10"/>
      <name val="Arial"/>
      <family val="2"/>
    </font>
    <font>
      <sz val="9"/>
      <color rgb="FFFF0000"/>
      <name val="Arial"/>
      <family val="2"/>
    </font>
    <font>
      <b/>
      <u/>
      <sz val="9"/>
      <color indexed="16"/>
      <name val="Arial"/>
      <family val="2"/>
    </font>
    <font>
      <sz val="9"/>
      <color indexed="16"/>
      <name val="Arial"/>
      <family val="2"/>
    </font>
    <font>
      <u/>
      <sz val="9"/>
      <color rgb="FF0070C0"/>
      <name val="Arial"/>
      <family val="2"/>
    </font>
    <font>
      <b/>
      <u/>
      <sz val="14"/>
      <name val="Arial"/>
      <family val="2"/>
    </font>
    <font>
      <i/>
      <sz val="9"/>
      <color indexed="55"/>
      <name val="Arial"/>
      <family val="2"/>
    </font>
    <font>
      <u val="singleAccounting"/>
      <sz val="9"/>
      <name val="Arial"/>
      <family val="2"/>
    </font>
    <font>
      <b/>
      <u/>
      <sz val="8"/>
      <color rgb="FF0070C0"/>
      <name val="Arial"/>
      <family val="2"/>
    </font>
    <font>
      <u/>
      <sz val="9"/>
      <color rgb="FFFF0000"/>
      <name val="Arial"/>
      <family val="2"/>
    </font>
    <font>
      <sz val="9"/>
      <color theme="0" tint="-0.34998626667073579"/>
      <name val="Arial"/>
      <family val="2"/>
    </font>
    <font>
      <b/>
      <u/>
      <sz val="9"/>
      <color theme="0" tint="-0.34998626667073579"/>
      <name val="Arial"/>
      <family val="2"/>
    </font>
    <font>
      <u/>
      <sz val="9"/>
      <color theme="0" tint="-0.34998626667073579"/>
      <name val="Arial"/>
      <family val="2"/>
    </font>
    <font>
      <i/>
      <sz val="9"/>
      <color theme="0" tint="-0.34998626667073579"/>
      <name val="Arial"/>
      <family val="2"/>
    </font>
    <font>
      <u val="singleAccounting"/>
      <sz val="9"/>
      <color theme="0" tint="-0.34998626667073579"/>
      <name val="Arial"/>
      <family val="2"/>
    </font>
    <font>
      <sz val="8"/>
      <name val="Arial"/>
      <family val="2"/>
    </font>
    <font>
      <u/>
      <sz val="8"/>
      <color rgb="FF0070C0"/>
      <name val="Arial"/>
      <family val="2"/>
    </font>
    <font>
      <b/>
      <u/>
      <sz val="9"/>
      <color rgb="FF00B0F0"/>
      <name val="Arial"/>
      <family val="2"/>
    </font>
    <font>
      <sz val="12"/>
      <name val="Times New Roman"/>
      <family val="1"/>
    </font>
    <font>
      <sz val="9"/>
      <color indexed="81"/>
      <name val="Tahoma"/>
      <family val="2"/>
    </font>
    <font>
      <sz val="11"/>
      <color indexed="8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12"/>
      <color theme="1"/>
      <name val="Arial"/>
      <family val="2"/>
    </font>
    <font>
      <u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u/>
      <sz val="10"/>
      <color indexed="8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Nunito Sans Normal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rgb="FF44546A"/>
      </patternFill>
    </fill>
    <fill>
      <patternFill patternType="solid">
        <fgColor rgb="FF7030A0"/>
        <bgColor theme="4"/>
      </patternFill>
    </fill>
    <fill>
      <patternFill patternType="solid">
        <fgColor theme="3" tint="0.39997558519241921"/>
        <bgColor rgb="FF44546A"/>
      </patternFill>
    </fill>
    <fill>
      <patternFill patternType="solid">
        <fgColor theme="4" tint="0.39997558519241921"/>
        <bgColor rgb="FF44546A"/>
      </patternFill>
    </fill>
    <fill>
      <patternFill patternType="solid">
        <fgColor rgb="FFC198E0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12">
    <xf numFmtId="0" fontId="0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1" fontId="6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19">
    <xf numFmtId="0" fontId="0" fillId="0" borderId="0" xfId="0"/>
    <xf numFmtId="0" fontId="6" fillId="2" borderId="0" xfId="1" applyFont="1" applyFill="1" applyAlignment="1">
      <alignment horizontal="left" vertical="top"/>
    </xf>
    <xf numFmtId="0" fontId="8" fillId="3" borderId="0" xfId="2" applyFont="1" applyFill="1"/>
    <xf numFmtId="0" fontId="9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64" fontId="11" fillId="2" borderId="0" xfId="3" applyNumberFormat="1" applyFont="1" applyFill="1" applyBorder="1" applyAlignment="1" applyProtection="1">
      <alignment horizontal="left" vertical="top"/>
    </xf>
    <xf numFmtId="0" fontId="13" fillId="3" borderId="0" xfId="2" applyFont="1" applyFill="1"/>
    <xf numFmtId="0" fontId="16" fillId="2" borderId="0" xfId="1" applyFont="1" applyFill="1" applyAlignment="1">
      <alignment horizontal="left" vertical="top"/>
    </xf>
    <xf numFmtId="0" fontId="17" fillId="2" borderId="0" xfId="1" applyFont="1" applyFill="1" applyAlignment="1">
      <alignment horizontal="left" vertical="top"/>
    </xf>
    <xf numFmtId="0" fontId="18" fillId="2" borderId="0" xfId="1" applyFont="1" applyFill="1" applyAlignment="1">
      <alignment horizontal="left" vertical="top"/>
    </xf>
    <xf numFmtId="3" fontId="19" fillId="2" borderId="0" xfId="1" applyNumberFormat="1" applyFont="1" applyFill="1" applyAlignment="1">
      <alignment horizontal="left" vertical="top"/>
    </xf>
    <xf numFmtId="0" fontId="16" fillId="4" borderId="0" xfId="1" applyFont="1" applyFill="1" applyAlignment="1">
      <alignment horizontal="left" vertical="top"/>
    </xf>
    <xf numFmtId="164" fontId="16" fillId="2" borderId="0" xfId="3" applyNumberFormat="1" applyFont="1" applyFill="1" applyBorder="1" applyAlignment="1" applyProtection="1">
      <alignment horizontal="left" vertical="top"/>
    </xf>
    <xf numFmtId="164" fontId="16" fillId="2" borderId="0" xfId="1" applyNumberFormat="1" applyFont="1" applyFill="1" applyAlignment="1">
      <alignment horizontal="left" vertical="top"/>
    </xf>
    <xf numFmtId="43" fontId="16" fillId="2" borderId="0" xfId="1" applyNumberFormat="1" applyFont="1" applyFill="1" applyAlignment="1">
      <alignment horizontal="left" vertical="top"/>
    </xf>
    <xf numFmtId="0" fontId="17" fillId="2" borderId="0" xfId="4" applyFont="1" applyFill="1" applyAlignment="1">
      <alignment horizontal="left" vertical="center"/>
    </xf>
    <xf numFmtId="0" fontId="20" fillId="2" borderId="0" xfId="4" applyFont="1" applyFill="1" applyAlignment="1">
      <alignment horizontal="left" vertical="top"/>
    </xf>
    <xf numFmtId="0" fontId="16" fillId="2" borderId="0" xfId="4" applyFont="1" applyFill="1" applyAlignment="1">
      <alignment horizontal="left" vertical="top"/>
    </xf>
    <xf numFmtId="0" fontId="16" fillId="5" borderId="0" xfId="4" applyFont="1" applyFill="1" applyAlignment="1">
      <alignment horizontal="left" vertical="top"/>
    </xf>
    <xf numFmtId="0" fontId="21" fillId="5" borderId="0" xfId="1" applyFont="1" applyFill="1" applyAlignment="1">
      <alignment vertical="top"/>
    </xf>
    <xf numFmtId="0" fontId="21" fillId="2" borderId="0" xfId="1" applyFont="1" applyFill="1" applyAlignment="1">
      <alignment vertical="top"/>
    </xf>
    <xf numFmtId="0" fontId="21" fillId="2" borderId="0" xfId="4" applyFont="1" applyFill="1" applyAlignment="1">
      <alignment horizontal="left" vertical="top"/>
    </xf>
    <xf numFmtId="0" fontId="17" fillId="2" borderId="0" xfId="4" applyFont="1" applyFill="1" applyAlignment="1">
      <alignment horizontal="left" vertical="top"/>
    </xf>
    <xf numFmtId="164" fontId="16" fillId="6" borderId="0" xfId="3" applyNumberFormat="1" applyFont="1" applyFill="1" applyAlignment="1" applyProtection="1">
      <alignment horizontal="center" vertical="top"/>
    </xf>
    <xf numFmtId="0" fontId="22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164" fontId="17" fillId="2" borderId="0" xfId="3" applyNumberFormat="1" applyFont="1" applyFill="1" applyAlignment="1" applyProtection="1">
      <alignment horizontal="left" vertical="center"/>
    </xf>
    <xf numFmtId="0" fontId="20" fillId="2" borderId="0" xfId="1" applyFont="1" applyFill="1" applyAlignment="1">
      <alignment horizontal="left" vertical="top"/>
    </xf>
    <xf numFmtId="0" fontId="21" fillId="2" borderId="0" xfId="1" applyFont="1" applyFill="1" applyAlignment="1">
      <alignment horizontal="left" vertical="top"/>
    </xf>
    <xf numFmtId="43" fontId="16" fillId="6" borderId="0" xfId="3" applyFont="1" applyFill="1" applyAlignment="1" applyProtection="1">
      <alignment horizontal="center" vertical="top"/>
    </xf>
    <xf numFmtId="0" fontId="17" fillId="2" borderId="0" xfId="4" applyFont="1" applyFill="1" applyAlignment="1">
      <alignment horizontal="left"/>
    </xf>
    <xf numFmtId="0" fontId="17" fillId="2" borderId="0" xfId="1" applyFont="1" applyFill="1" applyAlignment="1">
      <alignment horizontal="left" vertical="top" wrapText="1"/>
    </xf>
    <xf numFmtId="164" fontId="16" fillId="0" borderId="0" xfId="3" applyNumberFormat="1" applyFont="1" applyFill="1" applyAlignment="1" applyProtection="1">
      <alignment horizontal="center" vertical="top"/>
    </xf>
    <xf numFmtId="3" fontId="23" fillId="2" borderId="0" xfId="4" applyNumberFormat="1" applyFont="1" applyFill="1" applyAlignment="1">
      <alignment horizontal="left" vertical="center"/>
    </xf>
    <xf numFmtId="3" fontId="20" fillId="2" borderId="0" xfId="4" applyNumberFormat="1" applyFont="1" applyFill="1" applyAlignment="1">
      <alignment horizontal="left" vertical="center"/>
    </xf>
    <xf numFmtId="3" fontId="17" fillId="2" borderId="0" xfId="4" applyNumberFormat="1" applyFont="1" applyFill="1" applyAlignment="1">
      <alignment horizontal="left" vertical="center"/>
    </xf>
    <xf numFmtId="3" fontId="20" fillId="5" borderId="0" xfId="4" applyNumberFormat="1" applyFont="1" applyFill="1" applyAlignment="1">
      <alignment horizontal="center" vertical="center"/>
    </xf>
    <xf numFmtId="3" fontId="24" fillId="2" borderId="0" xfId="4" applyNumberFormat="1" applyFont="1" applyFill="1" applyAlignment="1">
      <alignment horizontal="left" vertical="center"/>
    </xf>
    <xf numFmtId="3" fontId="20" fillId="2" borderId="0" xfId="4" applyNumberFormat="1" applyFont="1" applyFill="1" applyAlignment="1">
      <alignment horizontal="center" vertical="center"/>
    </xf>
    <xf numFmtId="0" fontId="17" fillId="2" borderId="0" xfId="4" applyFont="1" applyFill="1" applyAlignment="1" applyProtection="1">
      <alignment horizontal="center"/>
      <protection locked="0"/>
    </xf>
    <xf numFmtId="3" fontId="26" fillId="2" borderId="0" xfId="4" applyNumberFormat="1" applyFont="1" applyFill="1" applyAlignment="1" applyProtection="1">
      <alignment horizontal="left"/>
      <protection locked="0"/>
    </xf>
    <xf numFmtId="3" fontId="26" fillId="2" borderId="0" xfId="4" applyNumberFormat="1" applyFont="1" applyFill="1" applyProtection="1">
      <protection locked="0"/>
    </xf>
    <xf numFmtId="3" fontId="27" fillId="2" borderId="0" xfId="4" applyNumberFormat="1" applyFont="1" applyFill="1" applyProtection="1">
      <protection locked="0"/>
    </xf>
    <xf numFmtId="3" fontId="17" fillId="2" borderId="0" xfId="4" applyNumberFormat="1" applyFont="1" applyFill="1" applyAlignment="1" applyProtection="1">
      <alignment horizontal="left"/>
      <protection locked="0"/>
    </xf>
    <xf numFmtId="0" fontId="26" fillId="2" borderId="0" xfId="4" applyFont="1" applyFill="1" applyAlignment="1" applyProtection="1">
      <alignment horizontal="left"/>
      <protection locked="0"/>
    </xf>
    <xf numFmtId="0" fontId="26" fillId="2" borderId="0" xfId="4" applyFont="1" applyFill="1" applyProtection="1">
      <protection locked="0"/>
    </xf>
    <xf numFmtId="0" fontId="28" fillId="2" borderId="0" xfId="4" applyFont="1" applyFill="1" applyAlignment="1" applyProtection="1">
      <alignment horizontal="center"/>
      <protection locked="0"/>
    </xf>
    <xf numFmtId="0" fontId="29" fillId="2" borderId="0" xfId="4" applyFont="1" applyFill="1" applyAlignment="1" applyProtection="1">
      <alignment horizontal="left"/>
      <protection locked="0"/>
    </xf>
    <xf numFmtId="0" fontId="12" fillId="2" borderId="0" xfId="4" applyFont="1" applyFill="1" applyAlignment="1" applyProtection="1">
      <alignment horizontal="left"/>
      <protection locked="0"/>
    </xf>
    <xf numFmtId="0" fontId="31" fillId="0" borderId="0" xfId="4" applyFont="1" applyProtection="1">
      <protection locked="0"/>
    </xf>
    <xf numFmtId="0" fontId="29" fillId="0" borderId="0" xfId="4" applyFont="1" applyAlignment="1" applyProtection="1">
      <alignment horizontal="left"/>
      <protection locked="0"/>
    </xf>
    <xf numFmtId="0" fontId="13" fillId="2" borderId="0" xfId="4" applyFont="1" applyFill="1" applyAlignment="1" applyProtection="1">
      <alignment horizontal="center" vertical="center"/>
      <protection locked="0"/>
    </xf>
    <xf numFmtId="0" fontId="27" fillId="2" borderId="0" xfId="4" applyFont="1" applyFill="1" applyAlignment="1" applyProtection="1">
      <alignment horizontal="left" vertical="center"/>
      <protection locked="0"/>
    </xf>
    <xf numFmtId="3" fontId="33" fillId="5" borderId="0" xfId="4" applyNumberFormat="1" applyFont="1" applyFill="1" applyAlignment="1">
      <alignment horizontal="center" vertical="center" wrapText="1"/>
    </xf>
    <xf numFmtId="3" fontId="34" fillId="5" borderId="0" xfId="4" applyNumberFormat="1" applyFont="1" applyFill="1" applyAlignment="1">
      <alignment horizontal="center" vertical="center" wrapText="1"/>
    </xf>
    <xf numFmtId="3" fontId="33" fillId="2" borderId="0" xfId="4" applyNumberFormat="1" applyFont="1" applyFill="1" applyAlignment="1" applyProtection="1">
      <alignment horizontal="left" vertical="center"/>
      <protection locked="0"/>
    </xf>
    <xf numFmtId="3" fontId="13" fillId="2" borderId="0" xfId="4" applyNumberFormat="1" applyFont="1" applyFill="1" applyAlignment="1" applyProtection="1">
      <alignment horizontal="left" vertical="center"/>
      <protection locked="0"/>
    </xf>
    <xf numFmtId="0" fontId="35" fillId="7" borderId="4" xfId="4" applyFont="1" applyFill="1" applyBorder="1" applyAlignment="1" applyProtection="1">
      <alignment horizontal="left" vertical="center"/>
      <protection locked="0"/>
    </xf>
    <xf numFmtId="3" fontId="35" fillId="7" borderId="5" xfId="4" applyNumberFormat="1" applyFont="1" applyFill="1" applyBorder="1" applyAlignment="1">
      <alignment horizontal="center" vertical="center" wrapText="1"/>
    </xf>
    <xf numFmtId="3" fontId="36" fillId="7" borderId="6" xfId="4" applyNumberFormat="1" applyFont="1" applyFill="1" applyBorder="1" applyAlignment="1">
      <alignment horizontal="center" vertical="center" wrapText="1"/>
    </xf>
    <xf numFmtId="3" fontId="35" fillId="7" borderId="6" xfId="4" applyNumberFormat="1" applyFont="1" applyFill="1" applyBorder="1" applyAlignment="1">
      <alignment horizontal="center" vertical="center" wrapText="1"/>
    </xf>
    <xf numFmtId="3" fontId="35" fillId="7" borderId="7" xfId="4" applyNumberFormat="1" applyFont="1" applyFill="1" applyBorder="1" applyAlignment="1">
      <alignment horizontal="center" vertical="center" wrapText="1"/>
    </xf>
    <xf numFmtId="3" fontId="36" fillId="7" borderId="7" xfId="4" applyNumberFormat="1" applyFont="1" applyFill="1" applyBorder="1" applyAlignment="1">
      <alignment horizontal="center" vertical="center" wrapText="1"/>
    </xf>
    <xf numFmtId="3" fontId="37" fillId="7" borderId="3" xfId="4" applyNumberFormat="1" applyFont="1" applyFill="1" applyBorder="1" applyAlignment="1">
      <alignment horizontal="center" vertical="center"/>
    </xf>
    <xf numFmtId="3" fontId="37" fillId="2" borderId="0" xfId="4" applyNumberFormat="1" applyFont="1" applyFill="1" applyAlignment="1" applyProtection="1">
      <alignment horizontal="left" vertical="center"/>
      <protection locked="0"/>
    </xf>
    <xf numFmtId="3" fontId="35" fillId="7" borderId="5" xfId="4" applyNumberFormat="1" applyFont="1" applyFill="1" applyBorder="1" applyAlignment="1">
      <alignment vertical="center" wrapText="1"/>
    </xf>
    <xf numFmtId="3" fontId="35" fillId="7" borderId="6" xfId="4" applyNumberFormat="1" applyFont="1" applyFill="1" applyBorder="1" applyAlignment="1">
      <alignment vertical="center" wrapText="1"/>
    </xf>
    <xf numFmtId="3" fontId="38" fillId="7" borderId="6" xfId="4" applyNumberFormat="1" applyFont="1" applyFill="1" applyBorder="1" applyAlignment="1">
      <alignment vertical="center" wrapText="1"/>
    </xf>
    <xf numFmtId="3" fontId="38" fillId="7" borderId="7" xfId="4" applyNumberFormat="1" applyFont="1" applyFill="1" applyBorder="1" applyAlignment="1">
      <alignment vertical="center" wrapText="1"/>
    </xf>
    <xf numFmtId="3" fontId="39" fillId="7" borderId="7" xfId="4" applyNumberFormat="1" applyFont="1" applyFill="1" applyBorder="1" applyAlignment="1">
      <alignment vertical="center" wrapText="1"/>
    </xf>
    <xf numFmtId="164" fontId="27" fillId="2" borderId="0" xfId="3" applyNumberFormat="1" applyFont="1" applyFill="1" applyAlignment="1" applyProtection="1">
      <alignment vertical="center"/>
      <protection locked="0"/>
    </xf>
    <xf numFmtId="0" fontId="27" fillId="2" borderId="0" xfId="4" applyFont="1" applyFill="1" applyAlignment="1" applyProtection="1">
      <alignment vertical="center"/>
      <protection locked="0"/>
    </xf>
    <xf numFmtId="0" fontId="40" fillId="2" borderId="0" xfId="4" applyFont="1" applyFill="1" applyAlignment="1" applyProtection="1">
      <alignment vertical="center"/>
      <protection locked="0"/>
    </xf>
    <xf numFmtId="0" fontId="40" fillId="2" borderId="0" xfId="4" applyFont="1" applyFill="1" applyAlignment="1" applyProtection="1">
      <alignment horizontal="left" vertical="center"/>
      <protection locked="0"/>
    </xf>
    <xf numFmtId="3" fontId="38" fillId="6" borderId="0" xfId="4" applyNumberFormat="1" applyFont="1" applyFill="1" applyAlignment="1">
      <alignment horizontal="right" vertical="center"/>
    </xf>
    <xf numFmtId="3" fontId="42" fillId="2" borderId="0" xfId="4" applyNumberFormat="1" applyFont="1" applyFill="1" applyAlignment="1" applyProtection="1">
      <alignment horizontal="left" vertical="center"/>
      <protection locked="0"/>
    </xf>
    <xf numFmtId="3" fontId="27" fillId="2" borderId="0" xfId="4" applyNumberFormat="1" applyFont="1" applyFill="1" applyAlignment="1" applyProtection="1">
      <alignment horizontal="left" vertical="center"/>
      <protection locked="0"/>
    </xf>
    <xf numFmtId="3" fontId="35" fillId="2" borderId="0" xfId="4" applyNumberFormat="1" applyFont="1" applyFill="1" applyAlignment="1" applyProtection="1">
      <alignment horizontal="left" vertical="center"/>
      <protection locked="0"/>
    </xf>
    <xf numFmtId="0" fontId="33" fillId="7" borderId="4" xfId="4" applyFont="1" applyFill="1" applyBorder="1" applyAlignment="1" applyProtection="1">
      <alignment horizontal="left" vertical="center"/>
      <protection locked="0"/>
    </xf>
    <xf numFmtId="3" fontId="38" fillId="8" borderId="5" xfId="4" applyNumberFormat="1" applyFont="1" applyFill="1" applyBorder="1" applyAlignment="1">
      <alignment horizontal="right" vertical="center"/>
    </xf>
    <xf numFmtId="3" fontId="38" fillId="8" borderId="6" xfId="4" applyNumberFormat="1" applyFont="1" applyFill="1" applyBorder="1" applyAlignment="1">
      <alignment horizontal="right" vertical="center"/>
    </xf>
    <xf numFmtId="3" fontId="38" fillId="8" borderId="7" xfId="4" applyNumberFormat="1" applyFont="1" applyFill="1" applyBorder="1" applyAlignment="1">
      <alignment horizontal="right" vertical="center"/>
    </xf>
    <xf numFmtId="164" fontId="37" fillId="7" borderId="3" xfId="3" applyNumberFormat="1" applyFont="1" applyFill="1" applyBorder="1" applyAlignment="1" applyProtection="1">
      <alignment vertical="center"/>
    </xf>
    <xf numFmtId="164" fontId="37" fillId="2" borderId="0" xfId="3" applyNumberFormat="1" applyFont="1" applyFill="1" applyBorder="1" applyAlignment="1" applyProtection="1">
      <alignment vertical="center"/>
      <protection locked="0"/>
    </xf>
    <xf numFmtId="3" fontId="41" fillId="7" borderId="11" xfId="4" applyNumberFormat="1" applyFont="1" applyFill="1" applyBorder="1" applyAlignment="1">
      <alignment vertical="center"/>
    </xf>
    <xf numFmtId="3" fontId="33" fillId="7" borderId="12" xfId="4" applyNumberFormat="1" applyFont="1" applyFill="1" applyBorder="1" applyAlignment="1">
      <alignment vertical="center"/>
    </xf>
    <xf numFmtId="3" fontId="33" fillId="7" borderId="13" xfId="4" applyNumberFormat="1" applyFont="1" applyFill="1" applyBorder="1" applyAlignment="1">
      <alignment vertical="center"/>
    </xf>
    <xf numFmtId="9" fontId="13" fillId="2" borderId="0" xfId="5" applyFont="1" applyFill="1" applyAlignment="1" applyProtection="1">
      <alignment horizontal="center" vertical="center"/>
      <protection locked="0"/>
    </xf>
    <xf numFmtId="9" fontId="40" fillId="2" borderId="0" xfId="5" applyFont="1" applyFill="1" applyAlignment="1" applyProtection="1">
      <alignment vertical="center"/>
      <protection locked="0"/>
    </xf>
    <xf numFmtId="9" fontId="40" fillId="2" borderId="0" xfId="5" applyFont="1" applyFill="1" applyAlignment="1" applyProtection="1">
      <alignment horizontal="left" vertical="center"/>
      <protection locked="0"/>
    </xf>
    <xf numFmtId="9" fontId="38" fillId="6" borderId="0" xfId="5" applyFont="1" applyFill="1" applyAlignment="1">
      <alignment horizontal="right" vertical="center"/>
    </xf>
    <xf numFmtId="9" fontId="33" fillId="2" borderId="0" xfId="5" applyFont="1" applyFill="1" applyAlignment="1" applyProtection="1">
      <alignment horizontal="left" vertical="center"/>
      <protection locked="0"/>
    </xf>
    <xf numFmtId="9" fontId="42" fillId="2" borderId="0" xfId="5" applyFont="1" applyFill="1" applyAlignment="1" applyProtection="1">
      <alignment horizontal="left" vertical="center"/>
      <protection locked="0"/>
    </xf>
    <xf numFmtId="9" fontId="27" fillId="2" borderId="0" xfId="5" applyFont="1" applyFill="1" applyAlignment="1" applyProtection="1">
      <alignment horizontal="left" vertical="center"/>
      <protection locked="0"/>
    </xf>
    <xf numFmtId="9" fontId="35" fillId="2" borderId="0" xfId="5" applyFont="1" applyFill="1" applyAlignment="1" applyProtection="1">
      <alignment horizontal="left" vertical="center"/>
      <protection locked="0"/>
    </xf>
    <xf numFmtId="9" fontId="33" fillId="7" borderId="4" xfId="5" applyFont="1" applyFill="1" applyBorder="1" applyAlignment="1" applyProtection="1">
      <alignment horizontal="left" vertical="center"/>
      <protection locked="0"/>
    </xf>
    <xf numFmtId="9" fontId="38" fillId="8" borderId="5" xfId="5" applyFont="1" applyFill="1" applyBorder="1" applyAlignment="1">
      <alignment horizontal="right" vertical="center"/>
    </xf>
    <xf numFmtId="9" fontId="38" fillId="8" borderId="6" xfId="5" applyFont="1" applyFill="1" applyBorder="1" applyAlignment="1">
      <alignment horizontal="right" vertical="center"/>
    </xf>
    <xf numFmtId="9" fontId="38" fillId="8" borderId="7" xfId="5" applyFont="1" applyFill="1" applyBorder="1" applyAlignment="1">
      <alignment horizontal="right" vertical="center"/>
    </xf>
    <xf numFmtId="9" fontId="37" fillId="7" borderId="3" xfId="5" applyFont="1" applyFill="1" applyBorder="1" applyAlignment="1" applyProtection="1">
      <alignment vertical="center"/>
    </xf>
    <xf numFmtId="9" fontId="37" fillId="2" borderId="0" xfId="5" applyFont="1" applyFill="1" applyBorder="1" applyAlignment="1" applyProtection="1">
      <alignment vertical="center"/>
      <protection locked="0"/>
    </xf>
    <xf numFmtId="9" fontId="41" fillId="7" borderId="15" xfId="5" applyFont="1" applyFill="1" applyBorder="1" applyAlignment="1">
      <alignment vertical="center"/>
    </xf>
    <xf numFmtId="9" fontId="33" fillId="7" borderId="16" xfId="5" applyFont="1" applyFill="1" applyBorder="1" applyAlignment="1">
      <alignment vertical="center"/>
    </xf>
    <xf numFmtId="9" fontId="33" fillId="7" borderId="17" xfId="5" applyFont="1" applyFill="1" applyBorder="1" applyAlignment="1">
      <alignment vertical="center"/>
    </xf>
    <xf numFmtId="9" fontId="27" fillId="2" borderId="0" xfId="5" applyFont="1" applyFill="1" applyAlignment="1" applyProtection="1">
      <alignment vertical="center"/>
      <protection locked="0"/>
    </xf>
    <xf numFmtId="3" fontId="41" fillId="7" borderId="15" xfId="4" applyNumberFormat="1" applyFont="1" applyFill="1" applyBorder="1" applyAlignment="1">
      <alignment vertical="center"/>
    </xf>
    <xf numFmtId="3" fontId="33" fillId="7" borderId="16" xfId="4" applyNumberFormat="1" applyFont="1" applyFill="1" applyBorder="1" applyAlignment="1">
      <alignment vertical="center"/>
    </xf>
    <xf numFmtId="3" fontId="33" fillId="7" borderId="17" xfId="4" applyNumberFormat="1" applyFont="1" applyFill="1" applyBorder="1" applyAlignment="1">
      <alignment vertical="center"/>
    </xf>
    <xf numFmtId="3" fontId="38" fillId="2" borderId="0" xfId="4" quotePrefix="1" applyNumberFormat="1" applyFont="1" applyFill="1" applyAlignment="1">
      <alignment horizontal="left" vertical="center"/>
    </xf>
    <xf numFmtId="3" fontId="43" fillId="2" borderId="0" xfId="4" applyNumberFormat="1" applyFont="1" applyFill="1" applyAlignment="1">
      <alignment horizontal="center" vertical="center"/>
    </xf>
    <xf numFmtId="10" fontId="38" fillId="8" borderId="5" xfId="4" applyNumberFormat="1" applyFont="1" applyFill="1" applyBorder="1" applyAlignment="1">
      <alignment horizontal="right" vertical="center"/>
    </xf>
    <xf numFmtId="10" fontId="38" fillId="8" borderId="6" xfId="4" applyNumberFormat="1" applyFont="1" applyFill="1" applyBorder="1" applyAlignment="1">
      <alignment horizontal="right" vertical="center"/>
    </xf>
    <xf numFmtId="10" fontId="38" fillId="8" borderId="7" xfId="4" applyNumberFormat="1" applyFont="1" applyFill="1" applyBorder="1" applyAlignment="1">
      <alignment horizontal="right" vertical="center"/>
    </xf>
    <xf numFmtId="10" fontId="37" fillId="7" borderId="3" xfId="6" applyNumberFormat="1" applyFont="1" applyFill="1" applyBorder="1" applyAlignment="1" applyProtection="1">
      <alignment vertical="center"/>
    </xf>
    <xf numFmtId="10" fontId="37" fillId="2" borderId="0" xfId="6" applyNumberFormat="1" applyFont="1" applyFill="1" applyBorder="1" applyAlignment="1" applyProtection="1">
      <alignment vertical="center"/>
      <protection locked="0"/>
    </xf>
    <xf numFmtId="3" fontId="33" fillId="7" borderId="16" xfId="4" applyNumberFormat="1" applyFont="1" applyFill="1" applyBorder="1" applyAlignment="1">
      <alignment horizontal="left" vertical="center"/>
    </xf>
    <xf numFmtId="165" fontId="33" fillId="7" borderId="16" xfId="4" applyNumberFormat="1" applyFont="1" applyFill="1" applyBorder="1" applyAlignment="1">
      <alignment horizontal="left" vertical="center"/>
    </xf>
    <xf numFmtId="3" fontId="33" fillId="7" borderId="17" xfId="4" applyNumberFormat="1" applyFont="1" applyFill="1" applyBorder="1" applyAlignment="1">
      <alignment horizontal="left" vertical="center"/>
    </xf>
    <xf numFmtId="3" fontId="38" fillId="2" borderId="0" xfId="4" applyNumberFormat="1" applyFont="1" applyFill="1" applyAlignment="1">
      <alignment horizontal="left" vertical="center"/>
    </xf>
    <xf numFmtId="3" fontId="38" fillId="8" borderId="0" xfId="4" applyNumberFormat="1" applyFont="1" applyFill="1" applyAlignment="1">
      <alignment horizontal="right" vertical="center"/>
    </xf>
    <xf numFmtId="3" fontId="44" fillId="2" borderId="0" xfId="4" applyNumberFormat="1" applyFont="1" applyFill="1" applyAlignment="1" applyProtection="1">
      <alignment horizontal="left" vertical="center"/>
      <protection locked="0"/>
    </xf>
    <xf numFmtId="3" fontId="35" fillId="9" borderId="20" xfId="2" applyNumberFormat="1" applyFont="1" applyFill="1" applyBorder="1" applyAlignment="1">
      <alignment horizontal="right" vertical="center"/>
    </xf>
    <xf numFmtId="164" fontId="37" fillId="7" borderId="8" xfId="3" applyNumberFormat="1" applyFont="1" applyFill="1" applyBorder="1" applyAlignment="1" applyProtection="1">
      <alignment vertical="center"/>
    </xf>
    <xf numFmtId="3" fontId="32" fillId="7" borderId="21" xfId="4" applyNumberFormat="1" applyFont="1" applyFill="1" applyBorder="1" applyAlignment="1">
      <alignment vertical="center"/>
    </xf>
    <xf numFmtId="3" fontId="44" fillId="7" borderId="22" xfId="4" applyNumberFormat="1" applyFont="1" applyFill="1" applyBorder="1" applyAlignment="1">
      <alignment horizontal="left" vertical="center"/>
    </xf>
    <xf numFmtId="165" fontId="44" fillId="7" borderId="22" xfId="4" applyNumberFormat="1" applyFont="1" applyFill="1" applyBorder="1" applyAlignment="1">
      <alignment horizontal="left" vertical="center"/>
    </xf>
    <xf numFmtId="3" fontId="35" fillId="7" borderId="22" xfId="4" applyNumberFormat="1" applyFont="1" applyFill="1" applyBorder="1" applyAlignment="1">
      <alignment horizontal="left" vertical="center"/>
    </xf>
    <xf numFmtId="3" fontId="35" fillId="7" borderId="23" xfId="4" applyNumberFormat="1" applyFont="1" applyFill="1" applyBorder="1" applyAlignment="1">
      <alignment horizontal="left" vertical="center"/>
    </xf>
    <xf numFmtId="164" fontId="27" fillId="7" borderId="25" xfId="3" applyNumberFormat="1" applyFont="1" applyFill="1" applyBorder="1" applyAlignment="1" applyProtection="1">
      <alignment vertical="center"/>
      <protection locked="0"/>
    </xf>
    <xf numFmtId="0" fontId="27" fillId="7" borderId="3" xfId="4" applyFont="1" applyFill="1" applyBorder="1" applyAlignment="1" applyProtection="1">
      <alignment vertical="center"/>
      <protection locked="0"/>
    </xf>
    <xf numFmtId="164" fontId="27" fillId="7" borderId="26" xfId="3" applyNumberFormat="1" applyFont="1" applyFill="1" applyBorder="1" applyAlignment="1" applyProtection="1">
      <alignment vertical="center"/>
      <protection locked="0"/>
    </xf>
    <xf numFmtId="0" fontId="45" fillId="2" borderId="0" xfId="4" applyFont="1" applyFill="1" applyAlignment="1" applyProtection="1">
      <alignment vertical="center"/>
      <protection locked="0"/>
    </xf>
    <xf numFmtId="0" fontId="44" fillId="2" borderId="0" xfId="4" applyFont="1" applyFill="1" applyAlignment="1" applyProtection="1">
      <alignment horizontal="left" vertical="center"/>
      <protection locked="0"/>
    </xf>
    <xf numFmtId="164" fontId="46" fillId="2" borderId="0" xfId="3" applyNumberFormat="1" applyFont="1" applyFill="1" applyAlignment="1" applyProtection="1">
      <alignment horizontal="right" vertical="center"/>
    </xf>
    <xf numFmtId="0" fontId="35" fillId="2" borderId="0" xfId="4" applyFont="1" applyFill="1" applyAlignment="1" applyProtection="1">
      <alignment vertical="center"/>
      <protection locked="0"/>
    </xf>
    <xf numFmtId="0" fontId="47" fillId="2" borderId="0" xfId="4" applyFont="1" applyFill="1" applyAlignment="1" applyProtection="1">
      <alignment vertical="center"/>
      <protection locked="0"/>
    </xf>
    <xf numFmtId="10" fontId="44" fillId="8" borderId="2" xfId="4" applyNumberFormat="1" applyFont="1" applyFill="1" applyBorder="1" applyAlignment="1" applyProtection="1">
      <alignment vertical="center"/>
      <protection locked="0"/>
    </xf>
    <xf numFmtId="165" fontId="32" fillId="0" borderId="27" xfId="2" applyNumberFormat="1" applyFont="1" applyBorder="1" applyAlignment="1">
      <alignment vertical="center"/>
    </xf>
    <xf numFmtId="165" fontId="32" fillId="0" borderId="28" xfId="2" applyNumberFormat="1" applyFont="1" applyBorder="1" applyAlignment="1">
      <alignment vertical="center"/>
    </xf>
    <xf numFmtId="164" fontId="48" fillId="0" borderId="14" xfId="3" applyNumberFormat="1" applyFont="1" applyFill="1" applyBorder="1" applyAlignment="1" applyProtection="1">
      <alignment vertical="center"/>
    </xf>
    <xf numFmtId="164" fontId="48" fillId="2" borderId="0" xfId="3" applyNumberFormat="1" applyFont="1" applyFill="1" applyBorder="1" applyAlignment="1" applyProtection="1">
      <alignment vertical="center"/>
      <protection locked="0"/>
    </xf>
    <xf numFmtId="3" fontId="32" fillId="0" borderId="29" xfId="2" applyNumberFormat="1" applyFont="1" applyBorder="1" applyAlignment="1">
      <alignment vertical="center"/>
    </xf>
    <xf numFmtId="3" fontId="32" fillId="0" borderId="30" xfId="2" applyNumberFormat="1" applyFont="1" applyBorder="1" applyAlignment="1">
      <alignment vertical="center"/>
    </xf>
    <xf numFmtId="3" fontId="40" fillId="0" borderId="14" xfId="4" applyNumberFormat="1" applyFont="1" applyBorder="1" applyAlignment="1">
      <alignment vertical="center"/>
    </xf>
    <xf numFmtId="0" fontId="40" fillId="10" borderId="0" xfId="4" applyFont="1" applyFill="1" applyAlignment="1" applyProtection="1">
      <alignment vertical="center"/>
      <protection locked="0"/>
    </xf>
    <xf numFmtId="9" fontId="40" fillId="10" borderId="0" xfId="4" applyNumberFormat="1" applyFont="1" applyFill="1" applyAlignment="1" applyProtection="1">
      <alignment vertical="center"/>
      <protection locked="0"/>
    </xf>
    <xf numFmtId="0" fontId="50" fillId="2" borderId="0" xfId="4" applyFont="1" applyFill="1" applyAlignment="1" applyProtection="1">
      <alignment horizontal="left" vertical="center"/>
      <protection locked="0"/>
    </xf>
    <xf numFmtId="3" fontId="32" fillId="2" borderId="0" xfId="4" applyNumberFormat="1" applyFont="1" applyFill="1" applyAlignment="1" applyProtection="1">
      <alignment horizontal="left" vertical="center"/>
      <protection locked="0"/>
    </xf>
    <xf numFmtId="3" fontId="40" fillId="2" borderId="0" xfId="4" applyNumberFormat="1" applyFont="1" applyFill="1" applyAlignment="1" applyProtection="1">
      <alignment horizontal="left" vertical="center"/>
      <protection locked="0"/>
    </xf>
    <xf numFmtId="3" fontId="32" fillId="2" borderId="0" xfId="4" applyNumberFormat="1" applyFont="1" applyFill="1" applyAlignment="1" applyProtection="1">
      <alignment horizontal="right" vertical="center"/>
      <protection locked="0"/>
    </xf>
    <xf numFmtId="10" fontId="44" fillId="8" borderId="10" xfId="4" applyNumberFormat="1" applyFont="1" applyFill="1" applyBorder="1" applyAlignment="1" applyProtection="1">
      <alignment vertical="center"/>
      <protection locked="0"/>
    </xf>
    <xf numFmtId="10" fontId="44" fillId="0" borderId="14" xfId="4" applyNumberFormat="1" applyFont="1" applyBorder="1" applyAlignment="1" applyProtection="1">
      <alignment horizontal="center" vertical="center"/>
      <protection locked="0"/>
    </xf>
    <xf numFmtId="165" fontId="32" fillId="0" borderId="29" xfId="2" applyNumberFormat="1" applyFont="1" applyBorder="1" applyAlignment="1">
      <alignment vertical="center"/>
    </xf>
    <xf numFmtId="165" fontId="32" fillId="0" borderId="30" xfId="2" applyNumberFormat="1" applyFont="1" applyBorder="1" applyAlignment="1">
      <alignment vertical="center"/>
    </xf>
    <xf numFmtId="164" fontId="48" fillId="0" borderId="8" xfId="3" applyNumberFormat="1" applyFont="1" applyFill="1" applyBorder="1" applyAlignment="1" applyProtection="1">
      <alignment vertical="center"/>
    </xf>
    <xf numFmtId="164" fontId="40" fillId="10" borderId="0" xfId="4" applyNumberFormat="1" applyFont="1" applyFill="1" applyAlignment="1" applyProtection="1">
      <alignment vertical="center"/>
      <protection locked="0"/>
    </xf>
    <xf numFmtId="3" fontId="32" fillId="2" borderId="0" xfId="4" applyNumberFormat="1" applyFont="1" applyFill="1" applyAlignment="1">
      <alignment horizontal="right" vertical="center"/>
    </xf>
    <xf numFmtId="0" fontId="38" fillId="11" borderId="0" xfId="4" applyFont="1" applyFill="1" applyAlignment="1" applyProtection="1">
      <alignment horizontal="left" vertical="center"/>
      <protection locked="0"/>
    </xf>
    <xf numFmtId="0" fontId="50" fillId="11" borderId="0" xfId="4" applyFont="1" applyFill="1" applyAlignment="1" applyProtection="1">
      <alignment horizontal="left" vertical="center"/>
      <protection locked="0"/>
    </xf>
    <xf numFmtId="164" fontId="51" fillId="11" borderId="0" xfId="3" applyNumberFormat="1" applyFont="1" applyFill="1" applyAlignment="1" applyProtection="1">
      <alignment horizontal="right" vertical="center"/>
    </xf>
    <xf numFmtId="0" fontId="40" fillId="2" borderId="0" xfId="4" applyFont="1" applyFill="1" applyAlignment="1">
      <alignment vertical="center"/>
    </xf>
    <xf numFmtId="3" fontId="35" fillId="2" borderId="0" xfId="4" applyNumberFormat="1" applyFont="1" applyFill="1" applyAlignment="1">
      <alignment horizontal="left" vertical="center"/>
    </xf>
    <xf numFmtId="38" fontId="32" fillId="2" borderId="0" xfId="4" applyNumberFormat="1" applyFont="1" applyFill="1" applyAlignment="1">
      <alignment horizontal="right" vertical="center"/>
    </xf>
    <xf numFmtId="164" fontId="40" fillId="2" borderId="0" xfId="3" applyNumberFormat="1" applyFont="1" applyFill="1" applyAlignment="1" applyProtection="1">
      <alignment vertical="center"/>
      <protection locked="0"/>
    </xf>
    <xf numFmtId="3" fontId="40" fillId="2" borderId="0" xfId="4" applyNumberFormat="1" applyFont="1" applyFill="1" applyAlignment="1" applyProtection="1">
      <alignment vertical="center"/>
      <protection locked="0"/>
    </xf>
    <xf numFmtId="9" fontId="52" fillId="0" borderId="0" xfId="5" applyFont="1" applyFill="1" applyAlignment="1" applyProtection="1">
      <alignment vertical="center"/>
      <protection locked="0"/>
    </xf>
    <xf numFmtId="9" fontId="53" fillId="0" borderId="0" xfId="5" applyFont="1" applyFill="1" applyAlignment="1" applyProtection="1">
      <alignment vertical="center"/>
      <protection locked="0"/>
    </xf>
    <xf numFmtId="9" fontId="54" fillId="0" borderId="0" xfId="5" applyFont="1" applyFill="1" applyAlignment="1" applyProtection="1">
      <alignment horizontal="right" vertical="center"/>
    </xf>
    <xf numFmtId="9" fontId="54" fillId="0" borderId="0" xfId="5" applyFont="1" applyFill="1" applyAlignment="1" applyProtection="1">
      <alignment horizontal="left" vertical="center"/>
      <protection locked="0"/>
    </xf>
    <xf numFmtId="9" fontId="52" fillId="0" borderId="0" xfId="5" applyFont="1" applyFill="1" applyAlignment="1" applyProtection="1">
      <alignment horizontal="left" vertical="center"/>
      <protection locked="0"/>
    </xf>
    <xf numFmtId="9" fontId="54" fillId="0" borderId="0" xfId="5" applyFont="1" applyFill="1" applyAlignment="1">
      <alignment horizontal="right" vertical="center"/>
    </xf>
    <xf numFmtId="9" fontId="53" fillId="0" borderId="14" xfId="5" applyFont="1" applyFill="1" applyBorder="1" applyAlignment="1" applyProtection="1">
      <alignment horizontal="center" vertical="center"/>
      <protection locked="0"/>
    </xf>
    <xf numFmtId="9" fontId="53" fillId="0" borderId="10" xfId="5" applyFont="1" applyFill="1" applyBorder="1" applyAlignment="1" applyProtection="1">
      <alignment vertical="center"/>
      <protection locked="0"/>
    </xf>
    <xf numFmtId="9" fontId="54" fillId="0" borderId="29" xfId="5" applyFont="1" applyFill="1" applyBorder="1" applyAlignment="1">
      <alignment vertical="center"/>
    </xf>
    <xf numFmtId="9" fontId="54" fillId="0" borderId="30" xfId="5" applyFont="1" applyFill="1" applyBorder="1" applyAlignment="1">
      <alignment vertical="center"/>
    </xf>
    <xf numFmtId="9" fontId="55" fillId="0" borderId="8" xfId="5" applyFont="1" applyFill="1" applyBorder="1" applyAlignment="1" applyProtection="1">
      <alignment vertical="center"/>
    </xf>
    <xf numFmtId="9" fontId="52" fillId="0" borderId="14" xfId="5" applyFont="1" applyFill="1" applyBorder="1" applyAlignment="1">
      <alignment vertical="center"/>
    </xf>
    <xf numFmtId="9" fontId="52" fillId="0" borderId="9" xfId="5" applyFont="1" applyFill="1" applyBorder="1" applyAlignment="1" applyProtection="1">
      <alignment horizontal="center" vertical="center"/>
      <protection locked="0"/>
    </xf>
    <xf numFmtId="9" fontId="52" fillId="0" borderId="14" xfId="5" applyFont="1" applyFill="1" applyBorder="1" applyAlignment="1" applyProtection="1">
      <alignment horizontal="center" vertical="center" wrapText="1"/>
      <protection locked="0"/>
    </xf>
    <xf numFmtId="9" fontId="56" fillId="0" borderId="10" xfId="5" applyFont="1" applyFill="1" applyBorder="1" applyAlignment="1" applyProtection="1">
      <alignment horizontal="center" vertical="center"/>
      <protection locked="0"/>
    </xf>
    <xf numFmtId="0" fontId="35" fillId="12" borderId="0" xfId="4" applyFont="1" applyFill="1" applyAlignment="1" applyProtection="1">
      <alignment horizontal="left" vertical="center"/>
      <protection locked="0"/>
    </xf>
    <xf numFmtId="0" fontId="44" fillId="12" borderId="0" xfId="4" applyFont="1" applyFill="1" applyAlignment="1" applyProtection="1">
      <alignment horizontal="left" vertical="center"/>
      <protection locked="0"/>
    </xf>
    <xf numFmtId="0" fontId="50" fillId="12" borderId="0" xfId="4" applyFont="1" applyFill="1" applyAlignment="1" applyProtection="1">
      <alignment horizontal="left" vertical="center"/>
      <protection locked="0"/>
    </xf>
    <xf numFmtId="164" fontId="32" fillId="12" borderId="0" xfId="3" applyNumberFormat="1" applyFont="1" applyFill="1" applyAlignment="1" applyProtection="1">
      <alignment horizontal="right" vertical="center"/>
    </xf>
    <xf numFmtId="166" fontId="40" fillId="2" borderId="0" xfId="4" applyNumberFormat="1" applyFont="1" applyFill="1" applyAlignment="1" applyProtection="1">
      <alignment vertical="center"/>
      <protection locked="0"/>
    </xf>
    <xf numFmtId="9" fontId="40" fillId="2" borderId="0" xfId="4" applyNumberFormat="1" applyFont="1" applyFill="1" applyAlignment="1" applyProtection="1">
      <alignment vertical="center"/>
      <protection locked="0"/>
    </xf>
    <xf numFmtId="0" fontId="35" fillId="13" borderId="0" xfId="4" applyFont="1" applyFill="1" applyAlignment="1" applyProtection="1">
      <alignment horizontal="left" vertical="center"/>
      <protection locked="0"/>
    </xf>
    <xf numFmtId="0" fontId="44" fillId="13" borderId="0" xfId="4" applyFont="1" applyFill="1" applyAlignment="1" applyProtection="1">
      <alignment horizontal="left" vertical="center"/>
      <protection locked="0"/>
    </xf>
    <xf numFmtId="0" fontId="50" fillId="13" borderId="0" xfId="4" applyFont="1" applyFill="1" applyAlignment="1" applyProtection="1">
      <alignment horizontal="left" vertical="center"/>
      <protection locked="0"/>
    </xf>
    <xf numFmtId="164" fontId="32" fillId="13" borderId="0" xfId="3" applyNumberFormat="1" applyFont="1" applyFill="1" applyAlignment="1" applyProtection="1">
      <alignment horizontal="right" vertical="center"/>
    </xf>
    <xf numFmtId="0" fontId="35" fillId="14" borderId="0" xfId="4" applyFont="1" applyFill="1" applyAlignment="1" applyProtection="1">
      <alignment horizontal="left" vertical="center"/>
      <protection locked="0"/>
    </xf>
    <xf numFmtId="0" fontId="44" fillId="14" borderId="0" xfId="4" applyFont="1" applyFill="1" applyAlignment="1" applyProtection="1">
      <alignment horizontal="left" vertical="center"/>
      <protection locked="0"/>
    </xf>
    <xf numFmtId="0" fontId="50" fillId="14" borderId="0" xfId="4" applyFont="1" applyFill="1" applyAlignment="1" applyProtection="1">
      <alignment horizontal="left" vertical="center"/>
      <protection locked="0"/>
    </xf>
    <xf numFmtId="164" fontId="32" fillId="14" borderId="0" xfId="3" applyNumberFormat="1" applyFont="1" applyFill="1" applyAlignment="1" applyProtection="1">
      <alignment horizontal="right" vertical="center"/>
    </xf>
    <xf numFmtId="0" fontId="57" fillId="14" borderId="0" xfId="4" applyFont="1" applyFill="1" applyAlignment="1" applyProtection="1">
      <alignment horizontal="right" vertical="center"/>
      <protection locked="0"/>
    </xf>
    <xf numFmtId="164" fontId="32" fillId="6" borderId="0" xfId="3" applyNumberFormat="1" applyFont="1" applyFill="1" applyAlignment="1" applyProtection="1">
      <alignment horizontal="right" vertical="center"/>
    </xf>
    <xf numFmtId="0" fontId="35" fillId="15" borderId="0" xfId="4" applyFont="1" applyFill="1" applyAlignment="1" applyProtection="1">
      <alignment horizontal="left" vertical="center"/>
      <protection locked="0"/>
    </xf>
    <xf numFmtId="0" fontId="44" fillId="15" borderId="0" xfId="4" applyFont="1" applyFill="1" applyAlignment="1" applyProtection="1">
      <alignment horizontal="left" vertical="center"/>
      <protection locked="0"/>
    </xf>
    <xf numFmtId="0" fontId="58" fillId="15" borderId="0" xfId="4" applyFont="1" applyFill="1" applyAlignment="1" applyProtection="1">
      <alignment horizontal="left" vertical="center"/>
      <protection locked="0"/>
    </xf>
    <xf numFmtId="164" fontId="32" fillId="15" borderId="0" xfId="3" applyNumberFormat="1" applyFont="1" applyFill="1" applyAlignment="1" applyProtection="1">
      <alignment horizontal="right" vertical="center"/>
    </xf>
    <xf numFmtId="0" fontId="35" fillId="0" borderId="0" xfId="4" applyFont="1" applyAlignment="1" applyProtection="1">
      <alignment horizontal="left" vertical="center"/>
      <protection locked="0"/>
    </xf>
    <xf numFmtId="0" fontId="46" fillId="2" borderId="0" xfId="4" applyFont="1" applyFill="1" applyAlignment="1" applyProtection="1">
      <alignment horizontal="left" vertical="center"/>
      <protection locked="0"/>
    </xf>
    <xf numFmtId="164" fontId="32" fillId="2" borderId="0" xfId="3" applyNumberFormat="1" applyFont="1" applyFill="1" applyAlignment="1" applyProtection="1">
      <alignment horizontal="right" vertical="center"/>
    </xf>
    <xf numFmtId="164" fontId="32" fillId="0" borderId="0" xfId="3" applyNumberFormat="1" applyFont="1" applyFill="1" applyAlignment="1" applyProtection="1">
      <alignment horizontal="right" vertical="center"/>
    </xf>
    <xf numFmtId="10" fontId="33" fillId="2" borderId="14" xfId="4" applyNumberFormat="1" applyFont="1" applyFill="1" applyBorder="1" applyAlignment="1" applyProtection="1">
      <alignment horizontal="center" vertical="center"/>
      <protection locked="0"/>
    </xf>
    <xf numFmtId="3" fontId="40" fillId="2" borderId="14" xfId="4" applyNumberFormat="1" applyFont="1" applyFill="1" applyBorder="1" applyAlignment="1" applyProtection="1">
      <alignment horizontal="center" vertical="center"/>
      <protection locked="0"/>
    </xf>
    <xf numFmtId="164" fontId="49" fillId="2" borderId="14" xfId="3" applyNumberFormat="1" applyFont="1" applyFill="1" applyBorder="1" applyAlignment="1" applyProtection="1">
      <alignment vertical="center"/>
      <protection locked="0"/>
    </xf>
    <xf numFmtId="0" fontId="37" fillId="2" borderId="0" xfId="4" applyFont="1" applyFill="1" applyAlignment="1" applyProtection="1">
      <alignment horizontal="center" vertical="center"/>
      <protection locked="0"/>
    </xf>
    <xf numFmtId="0" fontId="44" fillId="17" borderId="0" xfId="4" applyFont="1" applyFill="1" applyAlignment="1" applyProtection="1">
      <alignment horizontal="left" vertical="center"/>
      <protection locked="0"/>
    </xf>
    <xf numFmtId="0" fontId="46" fillId="17" borderId="0" xfId="4" applyFont="1" applyFill="1" applyAlignment="1" applyProtection="1">
      <alignment horizontal="left" vertical="center"/>
      <protection locked="0"/>
    </xf>
    <xf numFmtId="164" fontId="32" fillId="17" borderId="0" xfId="3" applyNumberFormat="1" applyFont="1" applyFill="1" applyAlignment="1" applyProtection="1">
      <alignment horizontal="right" vertical="center"/>
    </xf>
    <xf numFmtId="9" fontId="37" fillId="2" borderId="0" xfId="4" applyNumberFormat="1" applyFont="1" applyFill="1" applyAlignment="1" applyProtection="1">
      <alignment horizontal="center" vertical="center"/>
      <protection locked="0"/>
    </xf>
    <xf numFmtId="9" fontId="12" fillId="2" borderId="0" xfId="4" applyNumberFormat="1" applyFont="1" applyFill="1" applyAlignment="1" applyProtection="1">
      <alignment horizontal="center" vertical="center"/>
      <protection locked="0"/>
    </xf>
    <xf numFmtId="164" fontId="48" fillId="3" borderId="0" xfId="3" applyNumberFormat="1" applyFont="1" applyFill="1" applyBorder="1" applyAlignment="1" applyProtection="1">
      <alignment vertical="center"/>
      <protection locked="0"/>
    </xf>
    <xf numFmtId="0" fontId="37" fillId="2" borderId="0" xfId="4" applyFont="1" applyFill="1" applyAlignment="1" applyProtection="1">
      <alignment vertical="center"/>
      <protection locked="0"/>
    </xf>
    <xf numFmtId="0" fontId="44" fillId="0" borderId="0" xfId="4" applyFont="1" applyAlignment="1" applyProtection="1">
      <alignment horizontal="left" vertical="center"/>
      <protection locked="0"/>
    </xf>
    <xf numFmtId="0" fontId="46" fillId="0" borderId="0" xfId="4" applyFont="1" applyAlignment="1" applyProtection="1">
      <alignment horizontal="left" vertical="center"/>
      <protection locked="0"/>
    </xf>
    <xf numFmtId="10" fontId="31" fillId="0" borderId="14" xfId="6" applyNumberFormat="1" applyFont="1" applyFill="1" applyBorder="1" applyAlignment="1" applyProtection="1">
      <alignment horizontal="center" vertical="center"/>
      <protection locked="0"/>
    </xf>
    <xf numFmtId="164" fontId="48" fillId="0" borderId="0" xfId="3" applyNumberFormat="1" applyFont="1" applyFill="1" applyBorder="1" applyAlignment="1" applyProtection="1">
      <alignment vertical="center"/>
      <protection locked="0"/>
    </xf>
    <xf numFmtId="164" fontId="40" fillId="0" borderId="25" xfId="3" applyNumberFormat="1" applyFont="1" applyFill="1" applyBorder="1" applyAlignment="1" applyProtection="1">
      <alignment horizontal="right" vertical="center"/>
      <protection locked="0"/>
    </xf>
    <xf numFmtId="3" fontId="40" fillId="2" borderId="3" xfId="4" applyNumberFormat="1" applyFont="1" applyFill="1" applyBorder="1" applyAlignment="1" applyProtection="1">
      <alignment horizontal="center" vertical="center"/>
      <protection locked="0"/>
    </xf>
    <xf numFmtId="164" fontId="49" fillId="0" borderId="3" xfId="3" applyNumberFormat="1" applyFont="1" applyFill="1" applyBorder="1" applyAlignment="1" applyProtection="1">
      <alignment horizontal="center" vertical="center"/>
      <protection locked="0"/>
    </xf>
    <xf numFmtId="0" fontId="37" fillId="0" borderId="0" xfId="4" applyFont="1" applyAlignment="1" applyProtection="1">
      <alignment vertical="center"/>
      <protection locked="0"/>
    </xf>
    <xf numFmtId="164" fontId="40" fillId="2" borderId="25" xfId="3" applyNumberFormat="1" applyFont="1" applyFill="1" applyBorder="1" applyAlignment="1" applyProtection="1">
      <alignment vertical="center"/>
      <protection locked="0"/>
    </xf>
    <xf numFmtId="164" fontId="49" fillId="2" borderId="3" xfId="3" applyNumberFormat="1" applyFont="1" applyFill="1" applyBorder="1" applyAlignment="1" applyProtection="1">
      <alignment vertical="center"/>
      <protection locked="0"/>
    </xf>
    <xf numFmtId="0" fontId="59" fillId="2" borderId="0" xfId="4" applyFont="1" applyFill="1" applyAlignment="1" applyProtection="1">
      <alignment horizontal="left" vertical="center"/>
      <protection locked="0"/>
    </xf>
    <xf numFmtId="10" fontId="44" fillId="0" borderId="10" xfId="4" applyNumberFormat="1" applyFont="1" applyBorder="1" applyAlignment="1" applyProtection="1">
      <alignment vertical="center"/>
      <protection locked="0"/>
    </xf>
    <xf numFmtId="10" fontId="44" fillId="0" borderId="14" xfId="4" applyNumberFormat="1" applyFont="1" applyBorder="1" applyAlignment="1" applyProtection="1">
      <alignment vertical="center"/>
      <protection locked="0"/>
    </xf>
    <xf numFmtId="3" fontId="32" fillId="18" borderId="29" xfId="2" applyNumberFormat="1" applyFont="1" applyFill="1" applyBorder="1" applyAlignment="1">
      <alignment vertical="center"/>
    </xf>
    <xf numFmtId="3" fontId="32" fillId="18" borderId="30" xfId="2" applyNumberFormat="1" applyFont="1" applyFill="1" applyBorder="1" applyAlignment="1">
      <alignment vertical="center"/>
    </xf>
    <xf numFmtId="164" fontId="40" fillId="2" borderId="1" xfId="3" applyNumberFormat="1" applyFont="1" applyFill="1" applyBorder="1" applyAlignment="1" applyProtection="1">
      <alignment vertical="center"/>
      <protection locked="0"/>
    </xf>
    <xf numFmtId="0" fontId="40" fillId="2" borderId="8" xfId="4" applyFont="1" applyFill="1" applyBorder="1" applyAlignment="1" applyProtection="1">
      <alignment horizontal="center" vertical="center"/>
      <protection locked="0"/>
    </xf>
    <xf numFmtId="10" fontId="37" fillId="2" borderId="24" xfId="4" applyNumberFormat="1" applyFont="1" applyFill="1" applyBorder="1" applyProtection="1">
      <protection locked="0"/>
    </xf>
    <xf numFmtId="10" fontId="37" fillId="2" borderId="19" xfId="4" applyNumberFormat="1" applyFont="1" applyFill="1" applyBorder="1" applyProtection="1">
      <protection locked="0"/>
    </xf>
    <xf numFmtId="3" fontId="37" fillId="2" borderId="21" xfId="4" applyNumberFormat="1" applyFont="1" applyFill="1" applyBorder="1" applyAlignment="1">
      <alignment vertical="center"/>
    </xf>
    <xf numFmtId="3" fontId="37" fillId="2" borderId="22" xfId="4" applyNumberFormat="1" applyFont="1" applyFill="1" applyBorder="1" applyAlignment="1">
      <alignment vertical="center"/>
    </xf>
    <xf numFmtId="3" fontId="37" fillId="2" borderId="23" xfId="4" applyNumberFormat="1" applyFont="1" applyFill="1" applyBorder="1" applyAlignment="1">
      <alignment vertical="center"/>
    </xf>
    <xf numFmtId="164" fontId="37" fillId="2" borderId="24" xfId="3" applyNumberFormat="1" applyFont="1" applyFill="1" applyBorder="1" applyAlignment="1" applyProtection="1">
      <alignment vertical="center"/>
    </xf>
    <xf numFmtId="3" fontId="37" fillId="2" borderId="21" xfId="4" applyNumberFormat="1" applyFont="1" applyFill="1" applyBorder="1"/>
    <xf numFmtId="3" fontId="37" fillId="2" borderId="22" xfId="4" applyNumberFormat="1" applyFont="1" applyFill="1" applyBorder="1"/>
    <xf numFmtId="3" fontId="37" fillId="2" borderId="23" xfId="4" applyNumberFormat="1" applyFont="1" applyFill="1" applyBorder="1"/>
    <xf numFmtId="3" fontId="27" fillId="2" borderId="24" xfId="4" applyNumberFormat="1" applyFont="1" applyFill="1" applyBorder="1" applyAlignment="1">
      <alignment vertical="center"/>
    </xf>
    <xf numFmtId="164" fontId="37" fillId="2" borderId="18" xfId="3" applyNumberFormat="1" applyFont="1" applyFill="1" applyBorder="1" applyAlignment="1" applyProtection="1">
      <alignment vertical="center"/>
      <protection locked="0"/>
    </xf>
    <xf numFmtId="0" fontId="37" fillId="2" borderId="24" xfId="4" applyFont="1" applyFill="1" applyBorder="1" applyAlignment="1" applyProtection="1">
      <alignment horizontal="center" vertical="center"/>
      <protection locked="0"/>
    </xf>
    <xf numFmtId="164" fontId="40" fillId="2" borderId="24" xfId="3" applyNumberFormat="1" applyFont="1" applyFill="1" applyBorder="1" applyAlignment="1" applyProtection="1">
      <alignment vertical="center"/>
      <protection locked="0"/>
    </xf>
    <xf numFmtId="0" fontId="7" fillId="0" borderId="0" xfId="4" applyProtection="1">
      <protection locked="0"/>
    </xf>
    <xf numFmtId="0" fontId="7" fillId="0" borderId="0" xfId="4" applyAlignment="1" applyProtection="1">
      <alignment wrapText="1"/>
      <protection locked="0"/>
    </xf>
    <xf numFmtId="0" fontId="8" fillId="3" borderId="0" xfId="4" applyFont="1" applyFill="1" applyProtection="1">
      <protection locked="0"/>
    </xf>
    <xf numFmtId="0" fontId="62" fillId="3" borderId="0" xfId="4" applyFont="1" applyFill="1" applyProtection="1">
      <protection locked="0"/>
    </xf>
    <xf numFmtId="0" fontId="62" fillId="0" borderId="0" xfId="4" applyFont="1" applyAlignment="1" applyProtection="1">
      <alignment horizontal="left" wrapText="1"/>
      <protection locked="0"/>
    </xf>
    <xf numFmtId="0" fontId="26" fillId="0" borderId="0" xfId="4" applyFont="1" applyAlignment="1" applyProtection="1">
      <alignment vertical="center" wrapText="1"/>
      <protection locked="0"/>
    </xf>
    <xf numFmtId="0" fontId="13" fillId="3" borderId="0" xfId="4" applyFont="1" applyFill="1" applyProtection="1">
      <protection locked="0"/>
    </xf>
    <xf numFmtId="0" fontId="13" fillId="0" borderId="0" xfId="4" applyFont="1" applyAlignment="1" applyProtection="1">
      <alignment wrapText="1"/>
      <protection locked="0"/>
    </xf>
    <xf numFmtId="0" fontId="7" fillId="0" borderId="0" xfId="4" applyAlignment="1" applyProtection="1">
      <alignment horizontal="center" vertical="center" wrapText="1"/>
      <protection locked="0"/>
    </xf>
    <xf numFmtId="0" fontId="30" fillId="0" borderId="0" xfId="4" applyFont="1" applyAlignment="1" applyProtection="1">
      <alignment horizontal="center"/>
      <protection locked="0"/>
    </xf>
    <xf numFmtId="9" fontId="7" fillId="19" borderId="0" xfId="4" applyNumberFormat="1" applyFill="1" applyProtection="1">
      <protection locked="0"/>
    </xf>
    <xf numFmtId="0" fontId="30" fillId="0" borderId="0" xfId="4" applyFont="1" applyProtection="1">
      <protection locked="0"/>
    </xf>
    <xf numFmtId="0" fontId="30" fillId="0" borderId="0" xfId="4" applyFont="1" applyAlignment="1" applyProtection="1">
      <alignment horizontal="right"/>
      <protection locked="0"/>
    </xf>
    <xf numFmtId="9" fontId="7" fillId="19" borderId="0" xfId="4" applyNumberFormat="1" applyFill="1" applyAlignment="1" applyProtection="1">
      <alignment horizontal="right"/>
      <protection locked="0"/>
    </xf>
    <xf numFmtId="0" fontId="7" fillId="0" borderId="18" xfId="4" applyBorder="1" applyProtection="1">
      <protection locked="0"/>
    </xf>
    <xf numFmtId="0" fontId="7" fillId="0" borderId="39" xfId="4" applyBorder="1" applyProtection="1">
      <protection locked="0"/>
    </xf>
    <xf numFmtId="0" fontId="7" fillId="0" borderId="0" xfId="4" applyAlignment="1" applyProtection="1">
      <alignment vertical="center"/>
      <protection locked="0"/>
    </xf>
    <xf numFmtId="0" fontId="65" fillId="22" borderId="5" xfId="4" applyFont="1" applyFill="1" applyBorder="1" applyAlignment="1" applyProtection="1">
      <alignment horizontal="center" vertical="center" wrapText="1"/>
      <protection locked="0"/>
    </xf>
    <xf numFmtId="0" fontId="65" fillId="22" borderId="44" xfId="4" applyFont="1" applyFill="1" applyBorder="1" applyAlignment="1" applyProtection="1">
      <alignment horizontal="center" vertical="center" wrapText="1"/>
      <protection locked="0"/>
    </xf>
    <xf numFmtId="0" fontId="65" fillId="25" borderId="45" xfId="4" applyFont="1" applyFill="1" applyBorder="1" applyAlignment="1" applyProtection="1">
      <alignment horizontal="center" vertical="center" wrapText="1"/>
      <protection locked="0"/>
    </xf>
    <xf numFmtId="0" fontId="65" fillId="23" borderId="20" xfId="4" applyFont="1" applyFill="1" applyBorder="1" applyAlignment="1" applyProtection="1">
      <alignment horizontal="center" vertical="center" wrapText="1"/>
      <protection locked="0"/>
    </xf>
    <xf numFmtId="0" fontId="65" fillId="26" borderId="20" xfId="4" applyFont="1" applyFill="1" applyBorder="1" applyAlignment="1" applyProtection="1">
      <alignment horizontal="center" vertical="center" wrapText="1"/>
      <protection locked="0"/>
    </xf>
    <xf numFmtId="0" fontId="65" fillId="26" borderId="20" xfId="4" applyFont="1" applyFill="1" applyBorder="1" applyAlignment="1" applyProtection="1">
      <alignment horizontal="center" vertical="center"/>
      <protection locked="0"/>
    </xf>
    <xf numFmtId="0" fontId="65" fillId="24" borderId="46" xfId="4" applyFont="1" applyFill="1" applyBorder="1" applyAlignment="1" applyProtection="1">
      <alignment horizontal="center" vertical="center" wrapText="1"/>
      <protection locked="0"/>
    </xf>
    <xf numFmtId="0" fontId="65" fillId="27" borderId="46" xfId="4" applyFont="1" applyFill="1" applyBorder="1" applyAlignment="1" applyProtection="1">
      <alignment horizontal="center" vertical="center" wrapText="1"/>
      <protection locked="0"/>
    </xf>
    <xf numFmtId="0" fontId="7" fillId="0" borderId="0" xfId="4" applyAlignment="1" applyProtection="1">
      <alignment horizontal="center" vertical="center"/>
      <protection locked="0"/>
    </xf>
    <xf numFmtId="9" fontId="26" fillId="19" borderId="5" xfId="6" applyFont="1" applyFill="1" applyBorder="1" applyAlignment="1" applyProtection="1">
      <alignment horizontal="center" wrapText="1"/>
      <protection locked="0"/>
    </xf>
    <xf numFmtId="9" fontId="26" fillId="19" borderId="44" xfId="6" applyFont="1" applyFill="1" applyBorder="1" applyAlignment="1" applyProtection="1">
      <alignment horizontal="center" wrapText="1"/>
      <protection locked="0"/>
    </xf>
    <xf numFmtId="9" fontId="26" fillId="19" borderId="6" xfId="6" applyFont="1" applyFill="1" applyBorder="1" applyAlignment="1" applyProtection="1">
      <alignment horizontal="center" wrapText="1"/>
      <protection locked="0"/>
    </xf>
    <xf numFmtId="9" fontId="66" fillId="0" borderId="20" xfId="4" applyNumberFormat="1" applyFont="1" applyBorder="1" applyAlignment="1">
      <alignment horizontal="center"/>
    </xf>
    <xf numFmtId="9" fontId="26" fillId="0" borderId="5" xfId="6" applyFont="1" applyFill="1" applyBorder="1" applyAlignment="1" applyProtection="1">
      <alignment horizontal="center"/>
    </xf>
    <xf numFmtId="9" fontId="26" fillId="0" borderId="4" xfId="6" applyFont="1" applyFill="1" applyBorder="1" applyAlignment="1" applyProtection="1">
      <alignment horizontal="center"/>
    </xf>
    <xf numFmtId="9" fontId="26" fillId="0" borderId="6" xfId="4" applyNumberFormat="1" applyFont="1" applyBorder="1" applyAlignment="1">
      <alignment horizontal="center"/>
    </xf>
    <xf numFmtId="0" fontId="7" fillId="6" borderId="9" xfId="4" applyFill="1" applyBorder="1" applyProtection="1">
      <protection locked="0"/>
    </xf>
    <xf numFmtId="164" fontId="7" fillId="19" borderId="14" xfId="3" applyNumberFormat="1" applyFont="1" applyFill="1" applyBorder="1" applyProtection="1">
      <protection locked="0"/>
    </xf>
    <xf numFmtId="164" fontId="67" fillId="0" borderId="29" xfId="4" applyNumberFormat="1" applyFont="1" applyBorder="1" applyAlignment="1">
      <alignment wrapText="1"/>
    </xf>
    <xf numFmtId="0" fontId="67" fillId="28" borderId="47" xfId="4" applyFont="1" applyFill="1" applyBorder="1" applyProtection="1">
      <protection locked="0"/>
    </xf>
    <xf numFmtId="164" fontId="7" fillId="29" borderId="0" xfId="3" applyNumberFormat="1" applyFont="1" applyFill="1" applyBorder="1" applyProtection="1">
      <protection locked="0"/>
    </xf>
    <xf numFmtId="164" fontId="67" fillId="29" borderId="0" xfId="4" applyNumberFormat="1" applyFont="1" applyFill="1" applyAlignment="1">
      <alignment wrapText="1"/>
    </xf>
    <xf numFmtId="164" fontId="67" fillId="0" borderId="0" xfId="4" applyNumberFormat="1" applyFont="1" applyAlignment="1">
      <alignment wrapText="1"/>
    </xf>
    <xf numFmtId="0" fontId="65" fillId="22" borderId="18" xfId="4" applyFont="1" applyFill="1" applyBorder="1" applyProtection="1">
      <protection locked="0"/>
    </xf>
    <xf numFmtId="164" fontId="7" fillId="19" borderId="39" xfId="3" applyNumberFormat="1" applyFont="1" applyFill="1" applyBorder="1" applyProtection="1">
      <protection locked="0"/>
    </xf>
    <xf numFmtId="164" fontId="65" fillId="22" borderId="22" xfId="3" applyNumberFormat="1" applyFont="1" applyFill="1" applyBorder="1" applyProtection="1">
      <protection locked="0"/>
    </xf>
    <xf numFmtId="0" fontId="7" fillId="0" borderId="39" xfId="4" applyBorder="1" applyAlignment="1" applyProtection="1">
      <alignment wrapText="1"/>
      <protection locked="0"/>
    </xf>
    <xf numFmtId="0" fontId="7" fillId="3" borderId="0" xfId="4" applyFill="1" applyProtection="1">
      <protection locked="0"/>
    </xf>
    <xf numFmtId="0" fontId="65" fillId="20" borderId="0" xfId="4" applyFont="1" applyFill="1" applyProtection="1">
      <protection locked="0"/>
    </xf>
    <xf numFmtId="0" fontId="7" fillId="20" borderId="0" xfId="4" applyFill="1" applyProtection="1">
      <protection locked="0"/>
    </xf>
    <xf numFmtId="0" fontId="65" fillId="3" borderId="0" xfId="4" applyFont="1" applyFill="1" applyProtection="1">
      <protection locked="0"/>
    </xf>
    <xf numFmtId="0" fontId="65" fillId="0" borderId="8" xfId="4" applyFont="1" applyBorder="1" applyAlignment="1" applyProtection="1">
      <alignment horizontal="center" vertical="center"/>
      <protection locked="0"/>
    </xf>
    <xf numFmtId="43" fontId="7" fillId="30" borderId="48" xfId="3" applyFont="1" applyFill="1" applyBorder="1" applyAlignment="1" applyProtection="1">
      <alignment horizontal="center" vertical="center" wrapText="1"/>
      <protection locked="0"/>
    </xf>
    <xf numFmtId="43" fontId="7" fillId="30" borderId="49" xfId="3" applyFont="1" applyFill="1" applyBorder="1" applyAlignment="1" applyProtection="1">
      <alignment horizontal="center" vertical="center" wrapText="1"/>
      <protection locked="0"/>
    </xf>
    <xf numFmtId="0" fontId="7" fillId="30" borderId="50" xfId="4" applyFill="1" applyBorder="1" applyAlignment="1" applyProtection="1">
      <alignment horizontal="center" vertical="center" wrapText="1"/>
      <protection locked="0"/>
    </xf>
    <xf numFmtId="0" fontId="7" fillId="3" borderId="0" xfId="4" applyFill="1" applyAlignment="1" applyProtection="1">
      <alignment horizontal="center" vertical="center"/>
      <protection locked="0"/>
    </xf>
    <xf numFmtId="0" fontId="65" fillId="0" borderId="14" xfId="4" applyFont="1" applyBorder="1" applyAlignment="1" applyProtection="1">
      <alignment horizontal="center"/>
      <protection locked="0"/>
    </xf>
    <xf numFmtId="164" fontId="0" fillId="5" borderId="15" xfId="3" applyNumberFormat="1" applyFont="1" applyFill="1" applyBorder="1" applyAlignment="1" applyProtection="1">
      <alignment horizontal="center" wrapText="1"/>
      <protection locked="0"/>
    </xf>
    <xf numFmtId="9" fontId="7" fillId="5" borderId="17" xfId="4" applyNumberFormat="1" applyFill="1" applyBorder="1" applyAlignment="1" applyProtection="1">
      <alignment horizontal="center" wrapText="1"/>
      <protection locked="0"/>
    </xf>
    <xf numFmtId="0" fontId="7" fillId="3" borderId="0" xfId="4" applyFill="1" applyAlignment="1" applyProtection="1">
      <alignment horizontal="center"/>
      <protection locked="0"/>
    </xf>
    <xf numFmtId="0" fontId="7" fillId="10" borderId="14" xfId="4" applyFill="1" applyBorder="1" applyProtection="1">
      <protection locked="0"/>
    </xf>
    <xf numFmtId="164" fontId="0" fillId="19" borderId="0" xfId="3" applyNumberFormat="1" applyFont="1" applyFill="1" applyBorder="1" applyProtection="1">
      <protection locked="0"/>
    </xf>
    <xf numFmtId="164" fontId="0" fillId="0" borderId="15" xfId="3" applyNumberFormat="1" applyFont="1" applyBorder="1" applyAlignment="1" applyProtection="1">
      <alignment wrapText="1"/>
    </xf>
    <xf numFmtId="164" fontId="0" fillId="0" borderId="17" xfId="3" applyNumberFormat="1" applyFont="1" applyBorder="1" applyAlignment="1" applyProtection="1">
      <alignment wrapText="1"/>
    </xf>
    <xf numFmtId="164" fontId="0" fillId="3" borderId="0" xfId="3" applyNumberFormat="1" applyFont="1" applyFill="1" applyBorder="1" applyProtection="1">
      <protection locked="0"/>
    </xf>
    <xf numFmtId="164" fontId="7" fillId="19" borderId="0" xfId="3" applyNumberFormat="1" applyFont="1" applyFill="1" applyBorder="1" applyProtection="1">
      <protection locked="0"/>
    </xf>
    <xf numFmtId="164" fontId="0" fillId="0" borderId="0" xfId="3" applyNumberFormat="1" applyFont="1" applyBorder="1" applyAlignment="1" applyProtection="1">
      <alignment wrapText="1"/>
    </xf>
    <xf numFmtId="0" fontId="7" fillId="10" borderId="24" xfId="4" applyFill="1" applyBorder="1" applyProtection="1">
      <protection locked="0"/>
    </xf>
    <xf numFmtId="164" fontId="0" fillId="19" borderId="39" xfId="3" applyNumberFormat="1" applyFont="1" applyFill="1" applyBorder="1" applyProtection="1">
      <protection locked="0"/>
    </xf>
    <xf numFmtId="164" fontId="0" fillId="0" borderId="21" xfId="3" applyNumberFormat="1" applyFont="1" applyBorder="1" applyAlignment="1" applyProtection="1">
      <alignment wrapText="1"/>
    </xf>
    <xf numFmtId="164" fontId="0" fillId="0" borderId="39" xfId="3" applyNumberFormat="1" applyFont="1" applyBorder="1" applyAlignment="1" applyProtection="1">
      <alignment wrapText="1"/>
    </xf>
    <xf numFmtId="164" fontId="0" fillId="0" borderId="23" xfId="3" applyNumberFormat="1" applyFont="1" applyBorder="1" applyAlignment="1" applyProtection="1">
      <alignment wrapText="1"/>
    </xf>
    <xf numFmtId="0" fontId="7" fillId="0" borderId="8" xfId="4" applyBorder="1" applyProtection="1">
      <protection locked="0"/>
    </xf>
    <xf numFmtId="0" fontId="7" fillId="0" borderId="14" xfId="4" applyBorder="1" applyProtection="1">
      <protection locked="0"/>
    </xf>
    <xf numFmtId="164" fontId="0" fillId="19" borderId="14" xfId="3" applyNumberFormat="1" applyFont="1" applyFill="1" applyBorder="1" applyProtection="1">
      <protection locked="0"/>
    </xf>
    <xf numFmtId="164" fontId="0" fillId="3" borderId="9" xfId="3" applyNumberFormat="1" applyFont="1" applyFill="1" applyBorder="1" applyAlignment="1" applyProtection="1">
      <alignment vertical="center" wrapText="1"/>
      <protection locked="0"/>
    </xf>
    <xf numFmtId="164" fontId="0" fillId="3" borderId="0" xfId="3" applyNumberFormat="1" applyFont="1" applyFill="1" applyBorder="1" applyAlignment="1" applyProtection="1">
      <alignment vertical="center" wrapText="1"/>
      <protection locked="0"/>
    </xf>
    <xf numFmtId="0" fontId="7" fillId="0" borderId="24" xfId="4" applyBorder="1" applyProtection="1">
      <protection locked="0"/>
    </xf>
    <xf numFmtId="164" fontId="0" fillId="19" borderId="24" xfId="3" applyNumberFormat="1" applyFont="1" applyFill="1" applyBorder="1" applyProtection="1">
      <protection locked="0"/>
    </xf>
    <xf numFmtId="0" fontId="7" fillId="0" borderId="8" xfId="4" applyBorder="1" applyAlignment="1" applyProtection="1">
      <alignment vertical="center"/>
      <protection locked="0"/>
    </xf>
    <xf numFmtId="43" fontId="26" fillId="5" borderId="15" xfId="3" applyFont="1" applyFill="1" applyBorder="1" applyAlignment="1" applyProtection="1">
      <alignment horizontal="center" wrapText="1"/>
      <protection locked="0"/>
    </xf>
    <xf numFmtId="9" fontId="26" fillId="5" borderId="17" xfId="6" applyFont="1" applyFill="1" applyBorder="1" applyAlignment="1" applyProtection="1">
      <alignment horizontal="center" wrapText="1"/>
      <protection locked="0"/>
    </xf>
    <xf numFmtId="0" fontId="7" fillId="0" borderId="14" xfId="4" applyBorder="1" applyAlignment="1" applyProtection="1">
      <alignment horizontal="right" indent="1"/>
      <protection locked="0"/>
    </xf>
    <xf numFmtId="164" fontId="7" fillId="0" borderId="0" xfId="4" applyNumberFormat="1" applyProtection="1">
      <protection locked="0"/>
    </xf>
    <xf numFmtId="0" fontId="7" fillId="0" borderId="1" xfId="4" applyBorder="1" applyProtection="1">
      <protection locked="0"/>
    </xf>
    <xf numFmtId="164" fontId="0" fillId="19" borderId="10" xfId="3" applyNumberFormat="1" applyFont="1" applyFill="1" applyBorder="1" applyProtection="1">
      <protection locked="0"/>
    </xf>
    <xf numFmtId="0" fontId="69" fillId="0" borderId="0" xfId="4" applyFont="1" applyProtection="1">
      <protection locked="0"/>
    </xf>
    <xf numFmtId="0" fontId="7" fillId="0" borderId="9" xfId="4" applyBorder="1" applyProtection="1">
      <protection locked="0"/>
    </xf>
    <xf numFmtId="164" fontId="0" fillId="19" borderId="19" xfId="3" applyNumberFormat="1" applyFont="1" applyFill="1" applyBorder="1" applyProtection="1">
      <protection locked="0"/>
    </xf>
    <xf numFmtId="0" fontId="26" fillId="0" borderId="9" xfId="4" applyFont="1" applyBorder="1" applyProtection="1">
      <protection locked="0"/>
    </xf>
    <xf numFmtId="0" fontId="7" fillId="0" borderId="14" xfId="4" applyBorder="1" applyAlignment="1" applyProtection="1">
      <alignment horizontal="left" indent="1"/>
      <protection locked="0"/>
    </xf>
    <xf numFmtId="0" fontId="7" fillId="0" borderId="9" xfId="4" applyBorder="1" applyAlignment="1" applyProtection="1">
      <alignment wrapText="1"/>
      <protection locked="0"/>
    </xf>
    <xf numFmtId="0" fontId="7" fillId="0" borderId="54" xfId="4" applyBorder="1" applyAlignment="1" applyProtection="1">
      <alignment horizontal="left" indent="1"/>
      <protection locked="0"/>
    </xf>
    <xf numFmtId="164" fontId="0" fillId="19" borderId="54" xfId="3" applyNumberFormat="1" applyFont="1" applyFill="1" applyBorder="1" applyProtection="1">
      <protection locked="0"/>
    </xf>
    <xf numFmtId="0" fontId="7" fillId="0" borderId="14" xfId="4" applyBorder="1" applyAlignment="1" applyProtection="1">
      <alignment horizontal="center"/>
      <protection locked="0"/>
    </xf>
    <xf numFmtId="0" fontId="7" fillId="0" borderId="24" xfId="4" applyBorder="1" applyAlignment="1" applyProtection="1">
      <alignment horizontal="center"/>
      <protection locked="0"/>
    </xf>
    <xf numFmtId="164" fontId="0" fillId="0" borderId="19" xfId="3" applyNumberFormat="1" applyFont="1" applyBorder="1" applyProtection="1">
      <protection locked="0"/>
    </xf>
    <xf numFmtId="9" fontId="26" fillId="3" borderId="15" xfId="6" applyFont="1" applyFill="1" applyBorder="1" applyAlignment="1" applyProtection="1">
      <alignment horizontal="center" wrapText="1"/>
      <protection locked="0"/>
    </xf>
    <xf numFmtId="9" fontId="26" fillId="5" borderId="55" xfId="6" applyFont="1" applyFill="1" applyBorder="1" applyAlignment="1" applyProtection="1">
      <alignment horizontal="center" wrapText="1"/>
      <protection locked="0"/>
    </xf>
    <xf numFmtId="164" fontId="0" fillId="3" borderId="21" xfId="3" applyNumberFormat="1" applyFont="1" applyFill="1" applyBorder="1" applyAlignment="1" applyProtection="1">
      <alignment wrapText="1"/>
    </xf>
    <xf numFmtId="164" fontId="0" fillId="3" borderId="0" xfId="3" applyNumberFormat="1" applyFont="1" applyFill="1" applyBorder="1" applyAlignment="1" applyProtection="1">
      <alignment horizontal="right"/>
      <protection locked="0"/>
    </xf>
    <xf numFmtId="164" fontId="0" fillId="0" borderId="0" xfId="9" applyNumberFormat="1" applyFont="1"/>
    <xf numFmtId="164" fontId="0" fillId="0" borderId="0" xfId="0" applyNumberFormat="1"/>
    <xf numFmtId="0" fontId="32" fillId="17" borderId="0" xfId="4" applyFont="1" applyFill="1" applyAlignment="1" applyProtection="1">
      <alignment horizontal="right" vertical="center"/>
      <protection locked="0"/>
    </xf>
    <xf numFmtId="0" fontId="38" fillId="31" borderId="0" xfId="4" applyFont="1" applyFill="1" applyAlignment="1" applyProtection="1">
      <alignment horizontal="left" vertical="center"/>
      <protection locked="0"/>
    </xf>
    <xf numFmtId="0" fontId="50" fillId="31" borderId="0" xfId="4" applyFont="1" applyFill="1" applyAlignment="1" applyProtection="1">
      <alignment horizontal="left" vertical="center"/>
      <protection locked="0"/>
    </xf>
    <xf numFmtId="0" fontId="35" fillId="31" borderId="0" xfId="4" applyFont="1" applyFill="1" applyAlignment="1" applyProtection="1">
      <alignment vertical="center"/>
      <protection locked="0"/>
    </xf>
    <xf numFmtId="0" fontId="40" fillId="31" borderId="0" xfId="4" applyFont="1" applyFill="1" applyAlignment="1" applyProtection="1">
      <alignment vertical="center"/>
      <protection locked="0"/>
    </xf>
    <xf numFmtId="164" fontId="32" fillId="31" borderId="0" xfId="3" applyNumberFormat="1" applyFont="1" applyFill="1" applyAlignment="1" applyProtection="1">
      <alignment horizontal="right" vertical="center"/>
    </xf>
    <xf numFmtId="0" fontId="74" fillId="2" borderId="0" xfId="1" applyFont="1" applyFill="1" applyAlignment="1">
      <alignment horizontal="left" vertical="top"/>
    </xf>
    <xf numFmtId="0" fontId="66" fillId="2" borderId="0" xfId="1" applyFont="1" applyFill="1" applyAlignment="1">
      <alignment horizontal="left" vertical="top"/>
    </xf>
    <xf numFmtId="0" fontId="66" fillId="5" borderId="0" xfId="1" applyFont="1" applyFill="1" applyAlignment="1">
      <alignment vertical="top"/>
    </xf>
    <xf numFmtId="3" fontId="66" fillId="2" borderId="0" xfId="4" applyNumberFormat="1" applyFont="1" applyFill="1" applyProtection="1">
      <protection locked="0"/>
    </xf>
    <xf numFmtId="0" fontId="75" fillId="2" borderId="0" xfId="4" applyFont="1" applyFill="1" applyAlignment="1" applyProtection="1">
      <alignment horizontal="left" vertical="center"/>
      <protection locked="0"/>
    </xf>
    <xf numFmtId="9" fontId="75" fillId="2" borderId="0" xfId="5" applyFont="1" applyFill="1" applyAlignment="1" applyProtection="1">
      <alignment horizontal="left" vertical="center"/>
      <protection locked="0"/>
    </xf>
    <xf numFmtId="10" fontId="76" fillId="3" borderId="0" xfId="4" applyNumberFormat="1" applyFont="1" applyFill="1" applyAlignment="1" applyProtection="1">
      <alignment horizontal="center" vertical="center" wrapText="1"/>
      <protection locked="0"/>
    </xf>
    <xf numFmtId="9" fontId="76" fillId="3" borderId="0" xfId="5" applyFont="1" applyFill="1" applyAlignment="1" applyProtection="1">
      <alignment horizontal="center" vertical="center" wrapText="1"/>
      <protection locked="0"/>
    </xf>
    <xf numFmtId="2" fontId="76" fillId="3" borderId="0" xfId="4" applyNumberFormat="1" applyFont="1" applyFill="1" applyAlignment="1" applyProtection="1">
      <alignment horizontal="center" vertical="center" wrapText="1"/>
      <protection locked="0"/>
    </xf>
    <xf numFmtId="2" fontId="77" fillId="3" borderId="0" xfId="4" applyNumberFormat="1" applyFont="1" applyFill="1" applyAlignment="1" applyProtection="1">
      <alignment horizontal="center" vertical="center" wrapText="1"/>
      <protection locked="0"/>
    </xf>
    <xf numFmtId="2" fontId="78" fillId="3" borderId="0" xfId="4" applyNumberFormat="1" applyFont="1" applyFill="1" applyAlignment="1" applyProtection="1">
      <alignment horizontal="right" vertical="center" wrapText="1"/>
      <protection locked="0"/>
    </xf>
    <xf numFmtId="164" fontId="40" fillId="2" borderId="0" xfId="4" applyNumberFormat="1" applyFont="1" applyFill="1" applyAlignment="1" applyProtection="1">
      <alignment vertical="center"/>
      <protection locked="0"/>
    </xf>
    <xf numFmtId="0" fontId="79" fillId="2" borderId="0" xfId="4" applyFont="1" applyFill="1" applyAlignment="1">
      <alignment horizontal="left" vertical="top"/>
    </xf>
    <xf numFmtId="0" fontId="12" fillId="2" borderId="0" xfId="4" applyFont="1" applyFill="1" applyAlignment="1">
      <alignment horizontal="left" vertical="top"/>
    </xf>
    <xf numFmtId="164" fontId="16" fillId="2" borderId="0" xfId="3" applyNumberFormat="1" applyFont="1" applyFill="1" applyAlignment="1" applyProtection="1">
      <alignment horizontal="left" vertical="top"/>
    </xf>
    <xf numFmtId="0" fontId="67" fillId="2" borderId="0" xfId="4" applyFont="1" applyFill="1" applyAlignment="1">
      <alignment horizontal="left" vertical="top"/>
    </xf>
    <xf numFmtId="164" fontId="16" fillId="2" borderId="0" xfId="3" applyNumberFormat="1" applyFont="1" applyFill="1" applyAlignment="1" applyProtection="1">
      <alignment horizontal="left" vertical="top"/>
      <protection locked="0"/>
    </xf>
    <xf numFmtId="0" fontId="35" fillId="3" borderId="0" xfId="7" applyFont="1" applyFill="1" applyAlignment="1" applyProtection="1">
      <alignment vertical="center"/>
      <protection locked="0"/>
    </xf>
    <xf numFmtId="0" fontId="35" fillId="31" borderId="0" xfId="4" applyFont="1" applyFill="1" applyAlignment="1" applyProtection="1">
      <alignment horizontal="left" vertical="center"/>
      <protection locked="0"/>
    </xf>
    <xf numFmtId="0" fontId="14" fillId="2" borderId="0" xfId="4" applyFont="1" applyFill="1" applyAlignment="1" applyProtection="1">
      <alignment horizontal="left" vertical="top"/>
      <protection locked="0"/>
    </xf>
    <xf numFmtId="0" fontId="14" fillId="0" borderId="0" xfId="4" applyFont="1" applyAlignment="1" applyProtection="1">
      <alignment horizontal="left" vertical="top"/>
      <protection locked="0"/>
    </xf>
    <xf numFmtId="10" fontId="14" fillId="2" borderId="14" xfId="4" applyNumberFormat="1" applyFont="1" applyFill="1" applyBorder="1" applyAlignment="1" applyProtection="1">
      <alignment horizontal="left" vertical="top"/>
      <protection locked="0"/>
    </xf>
    <xf numFmtId="0" fontId="14" fillId="2" borderId="8" xfId="4" applyFont="1" applyFill="1" applyBorder="1" applyAlignment="1" applyProtection="1">
      <alignment horizontal="left" vertical="top"/>
      <protection locked="0"/>
    </xf>
    <xf numFmtId="0" fontId="80" fillId="3" borderId="0" xfId="4" applyFont="1" applyFill="1" applyAlignment="1" applyProtection="1">
      <alignment horizontal="left" vertical="top"/>
      <protection locked="0"/>
    </xf>
    <xf numFmtId="0" fontId="14" fillId="2" borderId="0" xfId="4" applyFont="1" applyFill="1" applyAlignment="1">
      <alignment horizontal="left" vertical="top"/>
    </xf>
    <xf numFmtId="0" fontId="13" fillId="2" borderId="0" xfId="4" applyFont="1" applyFill="1" applyAlignment="1">
      <alignment horizontal="left" vertical="top"/>
    </xf>
    <xf numFmtId="0" fontId="12" fillId="2" borderId="0" xfId="4" applyFont="1" applyFill="1" applyAlignment="1" applyProtection="1">
      <alignment horizontal="left" vertical="top"/>
      <protection locked="0"/>
    </xf>
    <xf numFmtId="164" fontId="14" fillId="2" borderId="0" xfId="3" applyNumberFormat="1" applyFont="1" applyFill="1" applyAlignment="1" applyProtection="1">
      <alignment horizontal="left" vertical="top"/>
      <protection locked="0"/>
    </xf>
    <xf numFmtId="0" fontId="14" fillId="2" borderId="25" xfId="4" applyFont="1" applyFill="1" applyBorder="1" applyAlignment="1" applyProtection="1">
      <alignment horizontal="center" vertical="top"/>
      <protection locked="0"/>
    </xf>
    <xf numFmtId="164" fontId="14" fillId="19" borderId="3" xfId="4" applyNumberFormat="1" applyFont="1" applyFill="1" applyBorder="1" applyAlignment="1" applyProtection="1">
      <alignment horizontal="left" vertical="top"/>
      <protection locked="0"/>
    </xf>
    <xf numFmtId="0" fontId="80" fillId="2" borderId="0" xfId="4" applyFont="1" applyFill="1" applyAlignment="1" applyProtection="1">
      <alignment horizontal="left" vertical="top"/>
      <protection locked="0"/>
    </xf>
    <xf numFmtId="0" fontId="16" fillId="2" borderId="0" xfId="4" applyFont="1" applyFill="1" applyAlignment="1" applyProtection="1">
      <alignment horizontal="left" vertical="top"/>
      <protection locked="0"/>
    </xf>
    <xf numFmtId="41" fontId="17" fillId="2" borderId="0" xfId="8" applyFont="1" applyFill="1" applyAlignment="1" applyProtection="1">
      <alignment horizontal="left" vertical="top"/>
      <protection locked="0"/>
    </xf>
    <xf numFmtId="0" fontId="67" fillId="2" borderId="0" xfId="4" applyFont="1" applyFill="1" applyAlignment="1" applyProtection="1">
      <alignment horizontal="left" vertical="top"/>
      <protection locked="0"/>
    </xf>
    <xf numFmtId="0" fontId="17" fillId="2" borderId="0" xfId="4" applyFont="1" applyFill="1" applyAlignment="1" applyProtection="1">
      <alignment horizontal="left" vertical="top"/>
      <protection locked="0"/>
    </xf>
    <xf numFmtId="3" fontId="43" fillId="2" borderId="0" xfId="4" applyNumberFormat="1" applyFont="1" applyFill="1" applyAlignment="1">
      <alignment vertical="center"/>
    </xf>
    <xf numFmtId="0" fontId="2" fillId="0" borderId="0" xfId="0" applyFont="1"/>
    <xf numFmtId="9" fontId="2" fillId="0" borderId="0" xfId="0" applyNumberFormat="1" applyFont="1"/>
    <xf numFmtId="0" fontId="81" fillId="0" borderId="0" xfId="0" applyFont="1"/>
    <xf numFmtId="3" fontId="2" fillId="0" borderId="0" xfId="0" applyNumberFormat="1" applyFont="1"/>
    <xf numFmtId="10" fontId="2" fillId="0" borderId="0" xfId="10" applyNumberFormat="1" applyFont="1"/>
    <xf numFmtId="0" fontId="2" fillId="0" borderId="0" xfId="0" applyFont="1" applyAlignment="1">
      <alignment horizontal="center"/>
    </xf>
    <xf numFmtId="164" fontId="2" fillId="0" borderId="0" xfId="9" applyNumberFormat="1" applyFont="1"/>
    <xf numFmtId="0" fontId="82" fillId="0" borderId="0" xfId="0" applyFont="1"/>
    <xf numFmtId="164" fontId="82" fillId="0" borderId="0" xfId="9" applyNumberFormat="1" applyFont="1"/>
    <xf numFmtId="164" fontId="82" fillId="0" borderId="0" xfId="0" applyNumberFormat="1" applyFont="1"/>
    <xf numFmtId="16" fontId="82" fillId="0" borderId="0" xfId="0" applyNumberFormat="1" applyFont="1"/>
    <xf numFmtId="43" fontId="2" fillId="0" borderId="0" xfId="9" applyFont="1"/>
    <xf numFmtId="43" fontId="26" fillId="5" borderId="0" xfId="11" applyFont="1" applyFill="1" applyAlignment="1" applyProtection="1">
      <alignment horizontal="center" wrapText="1"/>
      <protection locked="0"/>
    </xf>
    <xf numFmtId="43" fontId="26" fillId="5" borderId="16" xfId="11" applyFont="1" applyFill="1" applyBorder="1" applyAlignment="1" applyProtection="1">
      <alignment horizontal="center" wrapText="1"/>
      <protection locked="0"/>
    </xf>
    <xf numFmtId="43" fontId="7" fillId="30" borderId="51" xfId="11" applyFont="1" applyFill="1" applyBorder="1" applyAlignment="1" applyProtection="1">
      <alignment horizontal="center" vertical="center" wrapText="1"/>
      <protection locked="0"/>
    </xf>
    <xf numFmtId="43" fontId="7" fillId="30" borderId="49" xfId="11" applyFont="1" applyFill="1" applyBorder="1" applyAlignment="1" applyProtection="1">
      <alignment horizontal="center" vertical="center" wrapText="1"/>
      <protection locked="0"/>
    </xf>
    <xf numFmtId="43" fontId="7" fillId="30" borderId="52" xfId="11" applyFont="1" applyFill="1" applyBorder="1" applyAlignment="1" applyProtection="1">
      <alignment horizontal="center" vertical="center" wrapText="1"/>
      <protection locked="0"/>
    </xf>
    <xf numFmtId="43" fontId="7" fillId="30" borderId="53" xfId="11" applyFont="1" applyFill="1" applyBorder="1" applyAlignment="1" applyProtection="1">
      <alignment horizontal="center" vertical="center" wrapText="1"/>
      <protection locked="0"/>
    </xf>
    <xf numFmtId="9" fontId="26" fillId="5" borderId="55" xfId="11" applyNumberFormat="1" applyFont="1" applyFill="1" applyBorder="1" applyAlignment="1" applyProtection="1">
      <alignment horizontal="center" wrapText="1"/>
      <protection locked="0"/>
    </xf>
    <xf numFmtId="164" fontId="7" fillId="0" borderId="0" xfId="11" applyNumberFormat="1" applyFont="1" applyBorder="1" applyAlignment="1" applyProtection="1">
      <alignment horizontal="right" vertical="center" wrapText="1"/>
      <protection locked="0"/>
    </xf>
    <xf numFmtId="164" fontId="7" fillId="3" borderId="15" xfId="11" applyNumberFormat="1" applyFont="1" applyFill="1" applyBorder="1" applyAlignment="1" applyProtection="1">
      <alignment horizontal="center" wrapText="1"/>
      <protection locked="0"/>
    </xf>
    <xf numFmtId="164" fontId="3" fillId="3" borderId="21" xfId="11" applyNumberFormat="1" applyFont="1" applyFill="1" applyBorder="1" applyAlignment="1" applyProtection="1">
      <alignment wrapText="1"/>
    </xf>
    <xf numFmtId="164" fontId="7" fillId="3" borderId="24" xfId="11" applyNumberFormat="1" applyFont="1" applyFill="1" applyBorder="1" applyAlignment="1" applyProtection="1">
      <alignment horizontal="center" wrapText="1"/>
      <protection locked="0"/>
    </xf>
    <xf numFmtId="0" fontId="1" fillId="0" borderId="0" xfId="0" applyFont="1"/>
    <xf numFmtId="0" fontId="26" fillId="0" borderId="31" xfId="4" applyFont="1" applyBorder="1" applyAlignment="1" applyProtection="1">
      <alignment horizontal="left" vertical="center" wrapText="1"/>
      <protection locked="0"/>
    </xf>
    <xf numFmtId="0" fontId="26" fillId="0" borderId="32" xfId="4" applyFont="1" applyBorder="1" applyAlignment="1" applyProtection="1">
      <alignment horizontal="left" vertical="center" wrapText="1"/>
      <protection locked="0"/>
    </xf>
    <xf numFmtId="0" fontId="26" fillId="0" borderId="33" xfId="4" applyFont="1" applyBorder="1" applyAlignment="1" applyProtection="1">
      <alignment horizontal="left" vertical="center" wrapText="1"/>
      <protection locked="0"/>
    </xf>
    <xf numFmtId="0" fontId="26" fillId="0" borderId="34" xfId="4" applyFont="1" applyBorder="1" applyAlignment="1" applyProtection="1">
      <alignment horizontal="left" vertical="center" wrapText="1"/>
      <protection locked="0"/>
    </xf>
    <xf numFmtId="0" fontId="26" fillId="0" borderId="0" xfId="4" applyFont="1" applyAlignment="1" applyProtection="1">
      <alignment horizontal="left" vertical="center" wrapText="1"/>
      <protection locked="0"/>
    </xf>
    <xf numFmtId="0" fontId="26" fillId="0" borderId="35" xfId="4" applyFont="1" applyBorder="1" applyAlignment="1" applyProtection="1">
      <alignment horizontal="left" vertical="center" wrapText="1"/>
      <protection locked="0"/>
    </xf>
    <xf numFmtId="0" fontId="26" fillId="0" borderId="36" xfId="4" applyFont="1" applyBorder="1" applyAlignment="1" applyProtection="1">
      <alignment horizontal="left" vertical="center" wrapText="1"/>
      <protection locked="0"/>
    </xf>
    <xf numFmtId="0" fontId="26" fillId="0" borderId="37" xfId="4" applyFont="1" applyBorder="1" applyAlignment="1" applyProtection="1">
      <alignment horizontal="left" vertical="center" wrapText="1"/>
      <protection locked="0"/>
    </xf>
    <xf numFmtId="0" fontId="26" fillId="0" borderId="38" xfId="4" applyFont="1" applyBorder="1" applyAlignment="1" applyProtection="1">
      <alignment horizontal="left" vertical="center" wrapText="1"/>
      <protection locked="0"/>
    </xf>
    <xf numFmtId="0" fontId="63" fillId="20" borderId="4" xfId="4" applyFont="1" applyFill="1" applyBorder="1" applyAlignment="1" applyProtection="1">
      <alignment horizontal="center" vertical="center"/>
      <protection locked="0"/>
    </xf>
    <xf numFmtId="0" fontId="63" fillId="21" borderId="40" xfId="4" applyFont="1" applyFill="1" applyBorder="1" applyAlignment="1" applyProtection="1">
      <alignment horizontal="center" vertical="center"/>
      <protection locked="0"/>
    </xf>
    <xf numFmtId="0" fontId="64" fillId="22" borderId="8" xfId="4" applyFont="1" applyFill="1" applyBorder="1" applyAlignment="1" applyProtection="1">
      <alignment horizontal="center" vertical="center"/>
      <protection locked="0"/>
    </xf>
    <xf numFmtId="0" fontId="64" fillId="22" borderId="14" xfId="4" applyFont="1" applyFill="1" applyBorder="1" applyAlignment="1" applyProtection="1">
      <alignment horizontal="center" vertical="center"/>
      <protection locked="0"/>
    </xf>
    <xf numFmtId="0" fontId="64" fillId="22" borderId="24" xfId="4" applyFont="1" applyFill="1" applyBorder="1" applyAlignment="1" applyProtection="1">
      <alignment horizontal="center" vertical="center"/>
      <protection locked="0"/>
    </xf>
    <xf numFmtId="0" fontId="4" fillId="22" borderId="8" xfId="4" applyFont="1" applyFill="1" applyBorder="1" applyAlignment="1" applyProtection="1">
      <alignment horizontal="center" vertical="center" wrapText="1"/>
      <protection locked="0"/>
    </xf>
    <xf numFmtId="0" fontId="4" fillId="22" borderId="14" xfId="4" applyFont="1" applyFill="1" applyBorder="1" applyAlignment="1" applyProtection="1">
      <alignment horizontal="center" vertical="center" wrapText="1"/>
      <protection locked="0"/>
    </xf>
    <xf numFmtId="0" fontId="4" fillId="22" borderId="24" xfId="4" applyFont="1" applyFill="1" applyBorder="1" applyAlignment="1" applyProtection="1">
      <alignment horizontal="center" vertical="center" wrapText="1"/>
      <protection locked="0"/>
    </xf>
    <xf numFmtId="0" fontId="65" fillId="22" borderId="25" xfId="4" applyFont="1" applyFill="1" applyBorder="1" applyAlignment="1" applyProtection="1">
      <alignment horizontal="center" vertical="center" wrapText="1"/>
      <protection locked="0"/>
    </xf>
    <xf numFmtId="0" fontId="65" fillId="22" borderId="4" xfId="4" applyFont="1" applyFill="1" applyBorder="1" applyAlignment="1" applyProtection="1">
      <alignment horizontal="center" vertical="center" wrapText="1"/>
      <protection locked="0"/>
    </xf>
    <xf numFmtId="0" fontId="65" fillId="22" borderId="26" xfId="4" applyFont="1" applyFill="1" applyBorder="1" applyAlignment="1" applyProtection="1">
      <alignment horizontal="center" vertical="center" wrapText="1"/>
      <protection locked="0"/>
    </xf>
    <xf numFmtId="0" fontId="65" fillId="23" borderId="41" xfId="4" applyFont="1" applyFill="1" applyBorder="1" applyAlignment="1" applyProtection="1">
      <alignment horizontal="center"/>
      <protection locked="0"/>
    </xf>
    <xf numFmtId="0" fontId="65" fillId="23" borderId="42" xfId="4" applyFont="1" applyFill="1" applyBorder="1" applyAlignment="1" applyProtection="1">
      <alignment horizontal="center"/>
      <protection locked="0"/>
    </xf>
    <xf numFmtId="0" fontId="65" fillId="24" borderId="42" xfId="4" applyFont="1" applyFill="1" applyBorder="1" applyAlignment="1" applyProtection="1">
      <alignment horizontal="center"/>
      <protection locked="0"/>
    </xf>
    <xf numFmtId="0" fontId="65" fillId="24" borderId="43" xfId="4" applyFont="1" applyFill="1" applyBorder="1" applyAlignment="1" applyProtection="1">
      <alignment horizontal="center"/>
      <protection locked="0"/>
    </xf>
    <xf numFmtId="0" fontId="26" fillId="0" borderId="14" xfId="4" applyFont="1" applyBorder="1" applyAlignment="1" applyProtection="1">
      <alignment horizontal="center" vertical="center" wrapText="1"/>
      <protection locked="0"/>
    </xf>
    <xf numFmtId="0" fontId="7" fillId="29" borderId="0" xfId="4" applyFill="1" applyAlignment="1" applyProtection="1">
      <alignment horizontal="center" wrapText="1"/>
      <protection locked="0"/>
    </xf>
    <xf numFmtId="0" fontId="65" fillId="20" borderId="25" xfId="4" applyFont="1" applyFill="1" applyBorder="1" applyAlignment="1" applyProtection="1">
      <alignment horizontal="center"/>
      <protection locked="0"/>
    </xf>
    <xf numFmtId="0" fontId="65" fillId="20" borderId="4" xfId="4" applyFont="1" applyFill="1" applyBorder="1" applyAlignment="1" applyProtection="1">
      <alignment horizontal="center"/>
      <protection locked="0"/>
    </xf>
    <xf numFmtId="0" fontId="65" fillId="20" borderId="26" xfId="4" applyFont="1" applyFill="1" applyBorder="1" applyAlignment="1" applyProtection="1">
      <alignment horizontal="center"/>
      <protection locked="0"/>
    </xf>
    <xf numFmtId="164" fontId="7" fillId="3" borderId="1" xfId="3" applyNumberFormat="1" applyFont="1" applyFill="1" applyBorder="1" applyAlignment="1" applyProtection="1">
      <alignment horizontal="left" vertical="center" wrapText="1"/>
      <protection locked="0"/>
    </xf>
    <xf numFmtId="164" fontId="7" fillId="3" borderId="40" xfId="3" applyNumberFormat="1" applyFont="1" applyFill="1" applyBorder="1" applyAlignment="1" applyProtection="1">
      <alignment horizontal="left" vertical="center" wrapText="1"/>
      <protection locked="0"/>
    </xf>
    <xf numFmtId="164" fontId="0" fillId="3" borderId="40" xfId="3" applyNumberFormat="1" applyFont="1" applyFill="1" applyBorder="1" applyAlignment="1" applyProtection="1">
      <alignment horizontal="left" vertical="center" wrapText="1"/>
      <protection locked="0"/>
    </xf>
    <xf numFmtId="164" fontId="0" fillId="3" borderId="9" xfId="3" applyNumberFormat="1" applyFont="1" applyFill="1" applyBorder="1" applyAlignment="1" applyProtection="1">
      <alignment horizontal="left" vertical="center" wrapText="1"/>
      <protection locked="0"/>
    </xf>
    <xf numFmtId="164" fontId="0" fillId="3" borderId="0" xfId="3" applyNumberFormat="1" applyFont="1" applyFill="1" applyBorder="1" applyAlignment="1" applyProtection="1">
      <alignment horizontal="left" vertical="center" wrapText="1"/>
      <protection locked="0"/>
    </xf>
    <xf numFmtId="164" fontId="7" fillId="3" borderId="9" xfId="3" applyNumberFormat="1" applyFont="1" applyFill="1" applyBorder="1" applyAlignment="1" applyProtection="1">
      <alignment horizontal="left" vertical="center" wrapText="1"/>
      <protection locked="0"/>
    </xf>
    <xf numFmtId="164" fontId="7" fillId="3" borderId="0" xfId="3" applyNumberFormat="1" applyFont="1" applyFill="1" applyBorder="1" applyAlignment="1" applyProtection="1">
      <alignment horizontal="left" vertical="center" wrapText="1"/>
      <protection locked="0"/>
    </xf>
    <xf numFmtId="164" fontId="7" fillId="3" borderId="18" xfId="3" applyNumberFormat="1" applyFont="1" applyFill="1" applyBorder="1" applyAlignment="1" applyProtection="1">
      <alignment horizontal="left" vertical="center" wrapText="1"/>
      <protection locked="0"/>
    </xf>
    <xf numFmtId="164" fontId="7" fillId="3" borderId="39" xfId="3" applyNumberFormat="1" applyFont="1" applyFill="1" applyBorder="1" applyAlignment="1" applyProtection="1">
      <alignment horizontal="left" vertical="center" wrapText="1"/>
      <protection locked="0"/>
    </xf>
    <xf numFmtId="0" fontId="21" fillId="2" borderId="0" xfId="1" applyFont="1" applyFill="1" applyAlignment="1">
      <alignment horizontal="left" vertical="top"/>
    </xf>
    <xf numFmtId="0" fontId="25" fillId="2" borderId="0" xfId="4" quotePrefix="1" applyFont="1" applyFill="1" applyAlignment="1" applyProtection="1">
      <alignment horizontal="left" vertical="top"/>
      <protection locked="0"/>
    </xf>
    <xf numFmtId="3" fontId="33" fillId="7" borderId="1" xfId="4" applyNumberFormat="1" applyFont="1" applyFill="1" applyBorder="1" applyAlignment="1" applyProtection="1">
      <alignment horizontal="center" vertical="center" wrapText="1"/>
      <protection locked="0"/>
    </xf>
    <xf numFmtId="3" fontId="33" fillId="7" borderId="2" xfId="4" applyNumberFormat="1" applyFont="1" applyFill="1" applyBorder="1" applyAlignment="1" applyProtection="1">
      <alignment horizontal="center" vertical="center" wrapText="1"/>
      <protection locked="0"/>
    </xf>
    <xf numFmtId="3" fontId="33" fillId="7" borderId="9" xfId="4" applyNumberFormat="1" applyFont="1" applyFill="1" applyBorder="1" applyAlignment="1" applyProtection="1">
      <alignment horizontal="center" vertical="center" wrapText="1"/>
      <protection locked="0"/>
    </xf>
    <xf numFmtId="3" fontId="33" fillId="7" borderId="10" xfId="4" applyNumberFormat="1" applyFont="1" applyFill="1" applyBorder="1" applyAlignment="1" applyProtection="1">
      <alignment horizontal="center" vertical="center" wrapText="1"/>
      <protection locked="0"/>
    </xf>
    <xf numFmtId="3" fontId="33" fillId="7" borderId="18" xfId="4" applyNumberFormat="1" applyFont="1" applyFill="1" applyBorder="1" applyAlignment="1" applyProtection="1">
      <alignment horizontal="center" vertical="center" wrapText="1"/>
      <protection locked="0"/>
    </xf>
    <xf numFmtId="3" fontId="33" fillId="7" borderId="19" xfId="4" applyNumberFormat="1" applyFont="1" applyFill="1" applyBorder="1" applyAlignment="1" applyProtection="1">
      <alignment horizontal="center" vertical="center" wrapText="1"/>
      <protection locked="0"/>
    </xf>
    <xf numFmtId="0" fontId="27" fillId="7" borderId="3" xfId="4" applyFont="1" applyFill="1" applyBorder="1" applyAlignment="1" applyProtection="1">
      <alignment horizontal="center" vertical="center" wrapText="1"/>
      <protection locked="0"/>
    </xf>
    <xf numFmtId="3" fontId="40" fillId="7" borderId="8" xfId="4" applyNumberFormat="1" applyFont="1" applyFill="1" applyBorder="1" applyAlignment="1" applyProtection="1">
      <alignment horizontal="center" vertical="center" wrapText="1"/>
      <protection locked="0"/>
    </xf>
    <xf numFmtId="3" fontId="40" fillId="7" borderId="14" xfId="4" applyNumberFormat="1" applyFont="1" applyFill="1" applyBorder="1" applyAlignment="1" applyProtection="1">
      <alignment horizontal="center" vertical="center" wrapText="1"/>
      <protection locked="0"/>
    </xf>
    <xf numFmtId="0" fontId="13" fillId="7" borderId="3" xfId="4" applyFont="1" applyFill="1" applyBorder="1" applyAlignment="1" applyProtection="1">
      <alignment horizontal="center" vertical="center" wrapText="1"/>
      <protection locked="0"/>
    </xf>
    <xf numFmtId="0" fontId="27" fillId="7" borderId="8" xfId="4" applyFont="1" applyFill="1" applyBorder="1" applyAlignment="1">
      <alignment horizontal="center" vertical="center"/>
    </xf>
    <xf numFmtId="0" fontId="27" fillId="7" borderId="14" xfId="4" applyFont="1" applyFill="1" applyBorder="1" applyAlignment="1">
      <alignment horizontal="center" vertical="center"/>
    </xf>
    <xf numFmtId="0" fontId="27" fillId="7" borderId="24" xfId="4" applyFont="1" applyFill="1" applyBorder="1" applyAlignment="1">
      <alignment horizontal="center" vertical="center"/>
    </xf>
    <xf numFmtId="164" fontId="49" fillId="7" borderId="2" xfId="3" applyNumberFormat="1" applyFont="1" applyFill="1" applyBorder="1" applyAlignment="1" applyProtection="1">
      <alignment horizontal="center" vertical="center"/>
      <protection locked="0"/>
    </xf>
    <xf numFmtId="164" fontId="49" fillId="7" borderId="10" xfId="3" applyNumberFormat="1" applyFont="1" applyFill="1" applyBorder="1" applyAlignment="1" applyProtection="1">
      <alignment horizontal="center" vertical="center"/>
      <protection locked="0"/>
    </xf>
    <xf numFmtId="10" fontId="33" fillId="12" borderId="14" xfId="6" applyNumberFormat="1" applyFont="1" applyFill="1" applyBorder="1" applyAlignment="1" applyProtection="1">
      <alignment horizontal="center" vertical="center"/>
      <protection locked="0"/>
    </xf>
    <xf numFmtId="10" fontId="44" fillId="12" borderId="14" xfId="4" applyNumberFormat="1" applyFont="1" applyFill="1" applyBorder="1" applyAlignment="1" applyProtection="1">
      <alignment horizontal="center" vertical="center"/>
      <protection locked="0"/>
    </xf>
    <xf numFmtId="164" fontId="40" fillId="2" borderId="8" xfId="3" applyNumberFormat="1" applyFont="1" applyFill="1" applyBorder="1" applyAlignment="1" applyProtection="1">
      <alignment horizontal="center" vertical="center"/>
      <protection locked="0"/>
    </xf>
    <xf numFmtId="164" fontId="40" fillId="2" borderId="14" xfId="3" applyNumberFormat="1" applyFont="1" applyFill="1" applyBorder="1" applyAlignment="1" applyProtection="1">
      <alignment horizontal="center" vertical="center"/>
      <protection locked="0"/>
    </xf>
    <xf numFmtId="10" fontId="33" fillId="2" borderId="8" xfId="6" applyNumberFormat="1" applyFont="1" applyFill="1" applyBorder="1" applyAlignment="1" applyProtection="1">
      <alignment horizontal="center" vertical="center"/>
      <protection locked="0"/>
    </xf>
    <xf numFmtId="10" fontId="33" fillId="2" borderId="14" xfId="6" applyNumberFormat="1" applyFont="1" applyFill="1" applyBorder="1" applyAlignment="1" applyProtection="1">
      <alignment horizontal="center" vertical="center"/>
      <protection locked="0"/>
    </xf>
    <xf numFmtId="10" fontId="44" fillId="0" borderId="8" xfId="4" applyNumberFormat="1" applyFont="1" applyBorder="1" applyAlignment="1" applyProtection="1">
      <alignment horizontal="center" vertical="center"/>
      <protection locked="0"/>
    </xf>
    <xf numFmtId="10" fontId="44" fillId="0" borderId="14" xfId="4" applyNumberFormat="1" applyFont="1" applyBorder="1" applyAlignment="1" applyProtection="1">
      <alignment horizontal="center" vertical="center"/>
      <protection locked="0"/>
    </xf>
    <xf numFmtId="10" fontId="44" fillId="0" borderId="24" xfId="4" applyNumberFormat="1" applyFont="1" applyBorder="1" applyAlignment="1" applyProtection="1">
      <alignment horizontal="center" vertical="center"/>
      <protection locked="0"/>
    </xf>
    <xf numFmtId="164" fontId="40" fillId="2" borderId="8" xfId="4" applyNumberFormat="1" applyFont="1" applyFill="1" applyBorder="1" applyAlignment="1" applyProtection="1">
      <alignment horizontal="center" vertical="center"/>
      <protection locked="0"/>
    </xf>
    <xf numFmtId="0" fontId="40" fillId="2" borderId="14" xfId="4" applyFont="1" applyFill="1" applyBorder="1" applyAlignment="1" applyProtection="1">
      <alignment horizontal="center" vertical="center"/>
      <protection locked="0"/>
    </xf>
    <xf numFmtId="164" fontId="40" fillId="12" borderId="1" xfId="3" applyNumberFormat="1" applyFont="1" applyFill="1" applyBorder="1" applyAlignment="1" applyProtection="1">
      <alignment horizontal="center" vertical="center"/>
      <protection locked="0"/>
    </xf>
    <xf numFmtId="164" fontId="40" fillId="12" borderId="9" xfId="3" applyNumberFormat="1" applyFont="1" applyFill="1" applyBorder="1" applyAlignment="1" applyProtection="1">
      <alignment horizontal="center" vertical="center"/>
      <protection locked="0"/>
    </xf>
    <xf numFmtId="164" fontId="40" fillId="12" borderId="18" xfId="3" applyNumberFormat="1" applyFont="1" applyFill="1" applyBorder="1" applyAlignment="1" applyProtection="1">
      <alignment horizontal="center" vertical="center"/>
      <protection locked="0"/>
    </xf>
    <xf numFmtId="3" fontId="40" fillId="12" borderId="8" xfId="4" applyNumberFormat="1" applyFont="1" applyFill="1" applyBorder="1" applyAlignment="1" applyProtection="1">
      <alignment horizontal="center" vertical="center"/>
      <protection locked="0"/>
    </xf>
    <xf numFmtId="3" fontId="40" fillId="12" borderId="14" xfId="4" applyNumberFormat="1" applyFont="1" applyFill="1" applyBorder="1" applyAlignment="1" applyProtection="1">
      <alignment horizontal="center" vertical="center"/>
      <protection locked="0"/>
    </xf>
    <xf numFmtId="3" fontId="40" fillId="12" borderId="24" xfId="4" applyNumberFormat="1" applyFont="1" applyFill="1" applyBorder="1" applyAlignment="1" applyProtection="1">
      <alignment horizontal="center" vertical="center"/>
      <protection locked="0"/>
    </xf>
    <xf numFmtId="164" fontId="49" fillId="12" borderId="2" xfId="3" applyNumberFormat="1" applyFont="1" applyFill="1" applyBorder="1" applyAlignment="1" applyProtection="1">
      <alignment horizontal="center" vertical="center"/>
      <protection locked="0"/>
    </xf>
    <xf numFmtId="164" fontId="49" fillId="12" borderId="10" xfId="3" applyNumberFormat="1" applyFont="1" applyFill="1" applyBorder="1" applyAlignment="1" applyProtection="1">
      <alignment horizontal="center" vertical="center"/>
      <protection locked="0"/>
    </xf>
    <xf numFmtId="164" fontId="49" fillId="12" borderId="19" xfId="3" applyNumberFormat="1" applyFont="1" applyFill="1" applyBorder="1" applyAlignment="1" applyProtection="1">
      <alignment horizontal="center" vertical="center"/>
      <protection locked="0"/>
    </xf>
    <xf numFmtId="164" fontId="40" fillId="2" borderId="9" xfId="4" applyNumberFormat="1" applyFont="1" applyFill="1" applyBorder="1" applyAlignment="1" applyProtection="1">
      <alignment horizontal="center" vertical="center"/>
      <protection locked="0"/>
    </xf>
    <xf numFmtId="0" fontId="40" fillId="2" borderId="9" xfId="4" applyFont="1" applyFill="1" applyBorder="1" applyAlignment="1" applyProtection="1">
      <alignment horizontal="center" vertical="center"/>
      <protection locked="0"/>
    </xf>
    <xf numFmtId="164" fontId="49" fillId="13" borderId="8" xfId="3" applyNumberFormat="1" applyFont="1" applyFill="1" applyBorder="1" applyAlignment="1" applyProtection="1">
      <alignment horizontal="center" vertical="center"/>
      <protection locked="0"/>
    </xf>
    <xf numFmtId="164" fontId="49" fillId="13" borderId="14" xfId="3" applyNumberFormat="1" applyFont="1" applyFill="1" applyBorder="1" applyAlignment="1" applyProtection="1">
      <alignment horizontal="center" vertical="center"/>
      <protection locked="0"/>
    </xf>
    <xf numFmtId="164" fontId="49" fillId="13" borderId="24" xfId="3" applyNumberFormat="1" applyFont="1" applyFill="1" applyBorder="1" applyAlignment="1" applyProtection="1">
      <alignment horizontal="center" vertical="center"/>
      <protection locked="0"/>
    </xf>
    <xf numFmtId="10" fontId="33" fillId="5" borderId="14" xfId="6" applyNumberFormat="1" applyFont="1" applyFill="1" applyBorder="1" applyAlignment="1" applyProtection="1">
      <alignment horizontal="center" vertical="center"/>
      <protection locked="0"/>
    </xf>
    <xf numFmtId="10" fontId="44" fillId="5" borderId="14" xfId="4" applyNumberFormat="1" applyFont="1" applyFill="1" applyBorder="1" applyAlignment="1" applyProtection="1">
      <alignment horizontal="center" vertical="center"/>
      <protection locked="0"/>
    </xf>
    <xf numFmtId="164" fontId="40" fillId="5" borderId="8" xfId="3" applyNumberFormat="1" applyFont="1" applyFill="1" applyBorder="1" applyAlignment="1" applyProtection="1">
      <alignment horizontal="center" vertical="center"/>
      <protection locked="0"/>
    </xf>
    <xf numFmtId="164" fontId="40" fillId="5" borderId="14" xfId="3" applyNumberFormat="1" applyFont="1" applyFill="1" applyBorder="1" applyAlignment="1" applyProtection="1">
      <alignment horizontal="center" vertical="center"/>
      <protection locked="0"/>
    </xf>
    <xf numFmtId="3" fontId="40" fillId="5" borderId="8" xfId="4" applyNumberFormat="1" applyFont="1" applyFill="1" applyBorder="1" applyAlignment="1" applyProtection="1">
      <alignment horizontal="center" vertical="center"/>
      <protection locked="0"/>
    </xf>
    <xf numFmtId="3" fontId="40" fillId="5" borderId="14" xfId="4" applyNumberFormat="1" applyFont="1" applyFill="1" applyBorder="1" applyAlignment="1" applyProtection="1">
      <alignment horizontal="center" vertical="center"/>
      <protection locked="0"/>
    </xf>
    <xf numFmtId="164" fontId="49" fillId="5" borderId="8" xfId="3" applyNumberFormat="1" applyFont="1" applyFill="1" applyBorder="1" applyAlignment="1" applyProtection="1">
      <alignment horizontal="center" vertical="center"/>
      <protection locked="0"/>
    </xf>
    <xf numFmtId="164" fontId="49" fillId="5" borderId="14" xfId="3" applyNumberFormat="1" applyFont="1" applyFill="1" applyBorder="1" applyAlignment="1" applyProtection="1">
      <alignment horizontal="center" vertical="center"/>
      <protection locked="0"/>
    </xf>
    <xf numFmtId="10" fontId="33" fillId="13" borderId="14" xfId="6" applyNumberFormat="1" applyFont="1" applyFill="1" applyBorder="1" applyAlignment="1" applyProtection="1">
      <alignment horizontal="center" vertical="center"/>
      <protection locked="0"/>
    </xf>
    <xf numFmtId="10" fontId="44" fillId="13" borderId="14" xfId="4" applyNumberFormat="1" applyFont="1" applyFill="1" applyBorder="1" applyAlignment="1" applyProtection="1">
      <alignment horizontal="center" vertical="center"/>
      <protection locked="0"/>
    </xf>
    <xf numFmtId="164" fontId="40" fillId="13" borderId="8" xfId="3" applyNumberFormat="1" applyFont="1" applyFill="1" applyBorder="1" applyAlignment="1" applyProtection="1">
      <alignment horizontal="center" vertical="center"/>
      <protection locked="0"/>
    </xf>
    <xf numFmtId="164" fontId="40" fillId="13" borderId="14" xfId="3" applyNumberFormat="1" applyFont="1" applyFill="1" applyBorder="1" applyAlignment="1" applyProtection="1">
      <alignment horizontal="center" vertical="center"/>
      <protection locked="0"/>
    </xf>
    <xf numFmtId="164" fontId="40" fillId="13" borderId="24" xfId="3" applyNumberFormat="1" applyFont="1" applyFill="1" applyBorder="1" applyAlignment="1" applyProtection="1">
      <alignment horizontal="center" vertical="center"/>
      <protection locked="0"/>
    </xf>
    <xf numFmtId="3" fontId="40" fillId="13" borderId="8" xfId="4" applyNumberFormat="1" applyFont="1" applyFill="1" applyBorder="1" applyAlignment="1" applyProtection="1">
      <alignment horizontal="center" vertical="center"/>
      <protection locked="0"/>
    </xf>
    <xf numFmtId="3" fontId="40" fillId="13" borderId="14" xfId="4" applyNumberFormat="1" applyFont="1" applyFill="1" applyBorder="1" applyAlignment="1" applyProtection="1">
      <alignment horizontal="center" vertical="center"/>
      <protection locked="0"/>
    </xf>
    <xf numFmtId="3" fontId="40" fillId="13" borderId="24" xfId="4" applyNumberFormat="1" applyFont="1" applyFill="1" applyBorder="1" applyAlignment="1" applyProtection="1">
      <alignment horizontal="center" vertical="center"/>
      <protection locked="0"/>
    </xf>
    <xf numFmtId="164" fontId="49" fillId="17" borderId="14" xfId="3" applyNumberFormat="1" applyFont="1" applyFill="1" applyBorder="1" applyAlignment="1" applyProtection="1">
      <alignment horizontal="center" vertical="center"/>
      <protection locked="0"/>
    </xf>
    <xf numFmtId="10" fontId="38" fillId="16" borderId="14" xfId="4" applyNumberFormat="1" applyFont="1" applyFill="1" applyBorder="1" applyAlignment="1" applyProtection="1">
      <alignment horizontal="center" vertical="center"/>
      <protection locked="0"/>
    </xf>
    <xf numFmtId="10" fontId="44" fillId="16" borderId="14" xfId="4" applyNumberFormat="1" applyFont="1" applyFill="1" applyBorder="1" applyAlignment="1" applyProtection="1">
      <alignment horizontal="center" vertical="center"/>
      <protection locked="0"/>
    </xf>
    <xf numFmtId="164" fontId="57" fillId="15" borderId="14" xfId="3" applyNumberFormat="1" applyFont="1" applyFill="1" applyBorder="1" applyAlignment="1" applyProtection="1">
      <alignment horizontal="center" vertical="center"/>
      <protection locked="0"/>
    </xf>
    <xf numFmtId="167" fontId="57" fillId="15" borderId="14" xfId="3" applyNumberFormat="1" applyFont="1" applyFill="1" applyBorder="1" applyAlignment="1" applyProtection="1">
      <alignment horizontal="center" vertical="center"/>
      <protection locked="0"/>
    </xf>
    <xf numFmtId="164" fontId="49" fillId="15" borderId="14" xfId="3" applyNumberFormat="1" applyFont="1" applyFill="1" applyBorder="1" applyAlignment="1" applyProtection="1">
      <alignment horizontal="center" vertical="center"/>
      <protection locked="0"/>
    </xf>
    <xf numFmtId="10" fontId="31" fillId="17" borderId="14" xfId="6" applyNumberFormat="1" applyFont="1" applyFill="1" applyBorder="1" applyAlignment="1" applyProtection="1">
      <alignment horizontal="center" vertical="center"/>
      <protection locked="0"/>
    </xf>
    <xf numFmtId="10" fontId="44" fillId="17" borderId="14" xfId="4" applyNumberFormat="1" applyFont="1" applyFill="1" applyBorder="1" applyAlignment="1" applyProtection="1">
      <alignment horizontal="center" vertical="center"/>
      <protection locked="0"/>
    </xf>
    <xf numFmtId="164" fontId="40" fillId="17" borderId="0" xfId="3" applyNumberFormat="1" applyFont="1" applyFill="1" applyAlignment="1" applyProtection="1">
      <alignment horizontal="right" vertical="center"/>
      <protection locked="0"/>
    </xf>
    <xf numFmtId="3" fontId="40" fillId="17" borderId="14" xfId="4" applyNumberFormat="1" applyFont="1" applyFill="1" applyBorder="1" applyAlignment="1" applyProtection="1">
      <alignment horizontal="center" vertical="center"/>
      <protection locked="0"/>
    </xf>
  </cellXfs>
  <cellStyles count="12">
    <cellStyle name="Comma" xfId="9" builtinId="3"/>
    <cellStyle name="Comma [0] 2 2" xfId="8" xr:uid="{5D1FB0A0-A723-4EF1-9141-65FAE6A5B8B1}"/>
    <cellStyle name="Comma 2 2" xfId="3" xr:uid="{29F5650A-A75F-49FC-A306-739B4CD1BB64}"/>
    <cellStyle name="Comma 7" xfId="11" xr:uid="{BAE707FD-5D18-9E49-87AC-66073ED839F8}"/>
    <cellStyle name="Normal" xfId="0" builtinId="0"/>
    <cellStyle name="Normal 2" xfId="4" xr:uid="{B29F4355-219D-4B54-B926-562825FC34D6}"/>
    <cellStyle name="Normal 2 2" xfId="7" xr:uid="{E266699F-57E4-4864-AA26-D97FC3BED632}"/>
    <cellStyle name="Normal 3 2" xfId="2" xr:uid="{D8A284A6-282C-47D4-BCAB-12D8C9D49277}"/>
    <cellStyle name="Normal_BUDGET PREOP HS BALIKPAPAN 3w 2" xfId="1" xr:uid="{FF16459A-E1C8-48E7-8B83-A8F3AD4B0C8F}"/>
    <cellStyle name="Percent" xfId="10" builtinId="5"/>
    <cellStyle name="Percent 2" xfId="6" xr:uid="{995E9C40-049E-4741-90BA-DAD4CE664389}"/>
    <cellStyle name="Percent 4" xfId="5" xr:uid="{66CE29BF-D627-4A5E-882F-F578AD753FC6}"/>
  </cellStyles>
  <dxfs count="2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1" defaultTableStyle="TableStyleMedium2" defaultPivotStyle="PivotStyleLight16">
    <tableStyle name="Invisible" pivot="0" table="0" count="0" xr9:uid="{E1E92009-171A-4C0D-836D-1CDA342B28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322F-6315-5A48-BF8A-3DDB8551E331}">
  <sheetPr>
    <tabColor rgb="FF92D050"/>
  </sheetPr>
  <dimension ref="A1:U78"/>
  <sheetViews>
    <sheetView showGridLines="0" tabSelected="1" zoomScale="80" zoomScaleNormal="80" workbookViewId="0">
      <pane xSplit="1" ySplit="10" topLeftCell="B11" activePane="bottomRight" state="frozen"/>
      <selection pane="topRight" activeCell="B1" sqref="B1"/>
      <selection pane="bottomLeft" activeCell="A9" sqref="A9"/>
      <selection pane="bottomRight" activeCell="P38" sqref="P38"/>
    </sheetView>
  </sheetViews>
  <sheetFormatPr defaultColWidth="8.85546875" defaultRowHeight="12.75" x14ac:dyDescent="0.2"/>
  <cols>
    <col min="1" max="1" width="39.7109375" style="247" customWidth="1"/>
    <col min="2" max="2" width="13.7109375" style="247" customWidth="1"/>
    <col min="3" max="3" width="12.42578125" style="248" customWidth="1"/>
    <col min="4" max="6" width="11" style="248" customWidth="1"/>
    <col min="7" max="7" width="12.28515625" style="247" hidden="1" customWidth="1"/>
    <col min="8" max="11" width="11.7109375" style="247" customWidth="1"/>
    <col min="12" max="12" width="11.7109375" style="247" hidden="1" customWidth="1"/>
    <col min="13" max="16" width="11.7109375" style="247" customWidth="1"/>
    <col min="17" max="17" width="11.7109375" style="247" hidden="1" customWidth="1"/>
    <col min="18" max="16384" width="8.85546875" style="247"/>
  </cols>
  <sheetData>
    <row r="1" spans="1:17" ht="13.5" thickBot="1" x14ac:dyDescent="0.25"/>
    <row r="2" spans="1:17" ht="15" x14ac:dyDescent="0.25">
      <c r="A2" s="249" t="s">
        <v>0</v>
      </c>
      <c r="B2" s="250"/>
      <c r="C2" s="251"/>
      <c r="D2" s="251"/>
      <c r="E2" s="251"/>
      <c r="G2" s="252"/>
      <c r="H2" s="413" t="s">
        <v>129</v>
      </c>
      <c r="I2" s="414"/>
      <c r="J2" s="414"/>
      <c r="K2" s="414"/>
      <c r="L2" s="415"/>
    </row>
    <row r="3" spans="1:17" x14ac:dyDescent="0.2">
      <c r="A3" s="253" t="s">
        <v>130</v>
      </c>
      <c r="B3" s="253"/>
      <c r="C3" s="254"/>
      <c r="D3" s="254"/>
      <c r="E3" s="254"/>
      <c r="G3" s="252"/>
      <c r="H3" s="416"/>
      <c r="I3" s="417"/>
      <c r="J3" s="417"/>
      <c r="K3" s="417"/>
      <c r="L3" s="418"/>
    </row>
    <row r="4" spans="1:17" ht="13.5" thickBot="1" x14ac:dyDescent="0.25">
      <c r="A4" s="253"/>
      <c r="B4" s="253"/>
      <c r="C4" s="254"/>
      <c r="D4" s="254"/>
      <c r="E4" s="254"/>
      <c r="G4" s="252"/>
      <c r="H4" s="419"/>
      <c r="I4" s="420"/>
      <c r="J4" s="420"/>
      <c r="K4" s="420"/>
      <c r="L4" s="421"/>
    </row>
    <row r="5" spans="1:17" x14ac:dyDescent="0.2">
      <c r="A5" s="253"/>
      <c r="B5" s="253"/>
      <c r="C5" s="254"/>
      <c r="D5" s="254"/>
      <c r="E5" s="254"/>
      <c r="G5" s="255"/>
      <c r="H5" s="255"/>
      <c r="I5" s="255"/>
      <c r="J5" s="255"/>
    </row>
    <row r="6" spans="1:17" x14ac:dyDescent="0.2">
      <c r="A6" s="253"/>
      <c r="B6" s="253"/>
      <c r="C6" s="254"/>
      <c r="D6" s="254"/>
      <c r="E6" s="254"/>
      <c r="H6" s="256" t="s">
        <v>131</v>
      </c>
      <c r="I6" s="257">
        <v>0.03</v>
      </c>
      <c r="J6" s="258"/>
      <c r="M6" s="259" t="s">
        <v>131</v>
      </c>
      <c r="N6" s="260">
        <v>0.08</v>
      </c>
      <c r="O6" s="258"/>
    </row>
    <row r="7" spans="1:17" ht="15" x14ac:dyDescent="0.2">
      <c r="A7" s="261"/>
      <c r="B7" s="262"/>
      <c r="C7" s="422" t="s">
        <v>132</v>
      </c>
      <c r="D7" s="422"/>
      <c r="E7" s="422"/>
      <c r="F7" s="422"/>
      <c r="G7" s="422"/>
      <c r="H7" s="423" t="s">
        <v>133</v>
      </c>
      <c r="I7" s="423"/>
      <c r="J7" s="423"/>
      <c r="K7" s="423"/>
      <c r="L7" s="423"/>
      <c r="M7" s="423"/>
      <c r="N7" s="423"/>
      <c r="O7" s="423"/>
      <c r="P7" s="423"/>
      <c r="Q7" s="423"/>
    </row>
    <row r="8" spans="1:17" s="263" customFormat="1" ht="13.35" customHeight="1" x14ac:dyDescent="0.2">
      <c r="A8" s="424" t="s">
        <v>134</v>
      </c>
      <c r="B8" s="427" t="s">
        <v>135</v>
      </c>
      <c r="C8" s="430" t="s">
        <v>136</v>
      </c>
      <c r="D8" s="431"/>
      <c r="E8" s="431"/>
      <c r="F8" s="431"/>
      <c r="G8" s="432"/>
      <c r="H8" s="433" t="s">
        <v>137</v>
      </c>
      <c r="I8" s="434"/>
      <c r="J8" s="434"/>
      <c r="K8" s="434"/>
      <c r="L8" s="434"/>
      <c r="M8" s="435" t="s">
        <v>138</v>
      </c>
      <c r="N8" s="435"/>
      <c r="O8" s="435"/>
      <c r="P8" s="435"/>
      <c r="Q8" s="436"/>
    </row>
    <row r="9" spans="1:17" s="272" customFormat="1" ht="38.25" x14ac:dyDescent="0.25">
      <c r="A9" s="425"/>
      <c r="B9" s="428"/>
      <c r="C9" s="264" t="s">
        <v>72</v>
      </c>
      <c r="D9" s="265" t="s">
        <v>74</v>
      </c>
      <c r="E9" s="266" t="s">
        <v>139</v>
      </c>
      <c r="F9" s="266"/>
      <c r="G9" s="266"/>
      <c r="H9" s="267" t="str">
        <f t="shared" ref="H9:Q9" si="0">C9</f>
        <v>Staycation Offer</v>
      </c>
      <c r="I9" s="267" t="str">
        <f t="shared" si="0"/>
        <v>Flexible Staycation Offer</v>
      </c>
      <c r="J9" s="268" t="str">
        <f t="shared" si="0"/>
        <v>EBO 60</v>
      </c>
      <c r="K9" s="268">
        <f t="shared" si="0"/>
        <v>0</v>
      </c>
      <c r="L9" s="269">
        <f t="shared" si="0"/>
        <v>0</v>
      </c>
      <c r="M9" s="270" t="str">
        <f t="shared" si="0"/>
        <v>Staycation Offer</v>
      </c>
      <c r="N9" s="270" t="str">
        <f t="shared" si="0"/>
        <v>Flexible Staycation Offer</v>
      </c>
      <c r="O9" s="271" t="str">
        <f t="shared" si="0"/>
        <v>EBO 60</v>
      </c>
      <c r="P9" s="271">
        <f t="shared" si="0"/>
        <v>0</v>
      </c>
      <c r="Q9" s="271">
        <f t="shared" si="0"/>
        <v>0</v>
      </c>
    </row>
    <row r="10" spans="1:17" x14ac:dyDescent="0.2">
      <c r="A10" s="426"/>
      <c r="B10" s="429"/>
      <c r="C10" s="273">
        <v>0.32</v>
      </c>
      <c r="D10" s="274">
        <v>0.27</v>
      </c>
      <c r="E10" s="274">
        <v>0.35</v>
      </c>
      <c r="F10" s="275"/>
      <c r="G10" s="275"/>
      <c r="H10" s="276">
        <f>C10+$I$6</f>
        <v>0.35</v>
      </c>
      <c r="I10" s="277">
        <f>D10+$I$6</f>
        <v>0.30000000000000004</v>
      </c>
      <c r="J10" s="277">
        <f>E10+$I$6</f>
        <v>0.38</v>
      </c>
      <c r="K10" s="278">
        <f>F10+$I$6</f>
        <v>0.03</v>
      </c>
      <c r="L10" s="279">
        <f>G10+$I$6</f>
        <v>0.03</v>
      </c>
      <c r="M10" s="277">
        <f>C10+$N$6</f>
        <v>0.4</v>
      </c>
      <c r="N10" s="277">
        <f>D10+$N$6</f>
        <v>0.35000000000000003</v>
      </c>
      <c r="O10" s="277">
        <f>E10+$N$6</f>
        <v>0.43</v>
      </c>
      <c r="P10" s="278">
        <f>F10+$N$6</f>
        <v>0.08</v>
      </c>
      <c r="Q10" s="279">
        <f>G10+$N$6</f>
        <v>0.08</v>
      </c>
    </row>
    <row r="11" spans="1:17" x14ac:dyDescent="0.2">
      <c r="A11" s="280" t="s">
        <v>49</v>
      </c>
      <c r="B11" s="281">
        <f>'7. Rate Strategy'!F16</f>
        <v>5850000</v>
      </c>
      <c r="C11" s="282">
        <f>$B11-($B11*C$10)</f>
        <v>3978000</v>
      </c>
      <c r="D11" s="282">
        <f t="shared" ref="C11:Q21" si="1">$B11-($B11*D$10)</f>
        <v>4270500</v>
      </c>
      <c r="E11" s="282">
        <f t="shared" si="1"/>
        <v>3802500</v>
      </c>
      <c r="F11" s="282">
        <f t="shared" si="1"/>
        <v>5850000</v>
      </c>
      <c r="G11" s="282">
        <f t="shared" si="1"/>
        <v>5850000</v>
      </c>
      <c r="H11" s="282">
        <f t="shared" si="1"/>
        <v>3802500</v>
      </c>
      <c r="I11" s="282">
        <f t="shared" si="1"/>
        <v>4095000</v>
      </c>
      <c r="J11" s="282">
        <f t="shared" si="1"/>
        <v>3627000</v>
      </c>
      <c r="K11" s="282">
        <f t="shared" si="1"/>
        <v>5674500</v>
      </c>
      <c r="L11" s="282">
        <f t="shared" si="1"/>
        <v>5674500</v>
      </c>
      <c r="M11" s="282">
        <f t="shared" si="1"/>
        <v>3510000</v>
      </c>
      <c r="N11" s="282">
        <f t="shared" si="1"/>
        <v>3802500</v>
      </c>
      <c r="O11" s="282">
        <f t="shared" si="1"/>
        <v>3334500</v>
      </c>
      <c r="P11" s="282">
        <f t="shared" si="1"/>
        <v>5382000</v>
      </c>
      <c r="Q11" s="282">
        <f t="shared" si="1"/>
        <v>5382000</v>
      </c>
    </row>
    <row r="12" spans="1:17" x14ac:dyDescent="0.2">
      <c r="A12" s="280" t="s">
        <v>53</v>
      </c>
      <c r="B12" s="281">
        <f>'7. Rate Strategy'!F17</f>
        <v>5525000</v>
      </c>
      <c r="C12" s="282">
        <f t="shared" si="1"/>
        <v>3757000</v>
      </c>
      <c r="D12" s="282">
        <f t="shared" si="1"/>
        <v>4033250</v>
      </c>
      <c r="E12" s="282">
        <f t="shared" si="1"/>
        <v>3591250</v>
      </c>
      <c r="F12" s="282">
        <f t="shared" si="1"/>
        <v>5525000</v>
      </c>
      <c r="G12" s="282">
        <f t="shared" si="1"/>
        <v>5525000</v>
      </c>
      <c r="H12" s="282">
        <f t="shared" si="1"/>
        <v>3591250</v>
      </c>
      <c r="I12" s="282">
        <f t="shared" si="1"/>
        <v>3867500</v>
      </c>
      <c r="J12" s="282">
        <f t="shared" si="1"/>
        <v>3425500</v>
      </c>
      <c r="K12" s="282">
        <f t="shared" si="1"/>
        <v>5359250</v>
      </c>
      <c r="L12" s="282">
        <f t="shared" si="1"/>
        <v>5359250</v>
      </c>
      <c r="M12" s="282">
        <f t="shared" si="1"/>
        <v>3315000</v>
      </c>
      <c r="N12" s="282">
        <f t="shared" si="1"/>
        <v>3591250</v>
      </c>
      <c r="O12" s="282">
        <f t="shared" si="1"/>
        <v>3149250</v>
      </c>
      <c r="P12" s="282">
        <f t="shared" si="1"/>
        <v>5083000</v>
      </c>
      <c r="Q12" s="282">
        <f t="shared" si="1"/>
        <v>5083000</v>
      </c>
    </row>
    <row r="13" spans="1:17" x14ac:dyDescent="0.2">
      <c r="A13" s="280" t="s">
        <v>56</v>
      </c>
      <c r="B13" s="281">
        <f>'7. Rate Strategy'!F18</f>
        <v>5200000</v>
      </c>
      <c r="C13" s="282">
        <f t="shared" si="1"/>
        <v>3536000</v>
      </c>
      <c r="D13" s="282">
        <f t="shared" si="1"/>
        <v>3796000</v>
      </c>
      <c r="E13" s="282">
        <f t="shared" si="1"/>
        <v>3380000</v>
      </c>
      <c r="F13" s="282">
        <f t="shared" si="1"/>
        <v>5200000</v>
      </c>
      <c r="G13" s="282">
        <f t="shared" si="1"/>
        <v>5200000</v>
      </c>
      <c r="H13" s="282">
        <f t="shared" si="1"/>
        <v>3380000</v>
      </c>
      <c r="I13" s="282">
        <f t="shared" si="1"/>
        <v>3640000</v>
      </c>
      <c r="J13" s="282">
        <f t="shared" si="1"/>
        <v>3224000</v>
      </c>
      <c r="K13" s="282">
        <f t="shared" si="1"/>
        <v>5044000</v>
      </c>
      <c r="L13" s="282">
        <f t="shared" si="1"/>
        <v>5044000</v>
      </c>
      <c r="M13" s="282">
        <f t="shared" si="1"/>
        <v>3120000</v>
      </c>
      <c r="N13" s="282">
        <f t="shared" si="1"/>
        <v>3380000</v>
      </c>
      <c r="O13" s="282">
        <f t="shared" si="1"/>
        <v>2964000</v>
      </c>
      <c r="P13" s="282">
        <f t="shared" si="1"/>
        <v>4784000</v>
      </c>
      <c r="Q13" s="282">
        <f t="shared" si="1"/>
        <v>4784000</v>
      </c>
    </row>
    <row r="14" spans="1:17" x14ac:dyDescent="0.2">
      <c r="A14" s="280" t="s">
        <v>59</v>
      </c>
      <c r="B14" s="281">
        <f>'7. Rate Strategy'!F19</f>
        <v>4875000</v>
      </c>
      <c r="C14" s="282">
        <f t="shared" si="1"/>
        <v>3315000</v>
      </c>
      <c r="D14" s="282">
        <f t="shared" si="1"/>
        <v>3558750</v>
      </c>
      <c r="E14" s="282">
        <f t="shared" si="1"/>
        <v>3168750</v>
      </c>
      <c r="F14" s="282">
        <f t="shared" si="1"/>
        <v>4875000</v>
      </c>
      <c r="G14" s="282">
        <f t="shared" si="1"/>
        <v>4875000</v>
      </c>
      <c r="H14" s="282">
        <f t="shared" si="1"/>
        <v>3168750</v>
      </c>
      <c r="I14" s="282">
        <f t="shared" si="1"/>
        <v>3412500</v>
      </c>
      <c r="J14" s="282">
        <f t="shared" si="1"/>
        <v>3022500</v>
      </c>
      <c r="K14" s="282">
        <f t="shared" si="1"/>
        <v>4728750</v>
      </c>
      <c r="L14" s="282">
        <f t="shared" si="1"/>
        <v>4728750</v>
      </c>
      <c r="M14" s="282">
        <f t="shared" si="1"/>
        <v>2925000</v>
      </c>
      <c r="N14" s="282">
        <f t="shared" si="1"/>
        <v>3168750</v>
      </c>
      <c r="O14" s="282">
        <f t="shared" si="1"/>
        <v>2778750</v>
      </c>
      <c r="P14" s="282">
        <f t="shared" si="1"/>
        <v>4485000</v>
      </c>
      <c r="Q14" s="282">
        <f t="shared" si="1"/>
        <v>4485000</v>
      </c>
    </row>
    <row r="15" spans="1:17" x14ac:dyDescent="0.2">
      <c r="A15" s="280" t="s">
        <v>62</v>
      </c>
      <c r="B15" s="281">
        <f>'7. Rate Strategy'!F20</f>
        <v>4550000</v>
      </c>
      <c r="C15" s="282">
        <f t="shared" si="1"/>
        <v>3094000</v>
      </c>
      <c r="D15" s="282">
        <f t="shared" si="1"/>
        <v>3321500</v>
      </c>
      <c r="E15" s="282">
        <f t="shared" si="1"/>
        <v>2957500</v>
      </c>
      <c r="F15" s="282">
        <f t="shared" si="1"/>
        <v>4550000</v>
      </c>
      <c r="G15" s="282">
        <f t="shared" si="1"/>
        <v>4550000</v>
      </c>
      <c r="H15" s="282">
        <f t="shared" si="1"/>
        <v>2957500</v>
      </c>
      <c r="I15" s="282">
        <f t="shared" si="1"/>
        <v>3185000</v>
      </c>
      <c r="J15" s="282">
        <f t="shared" si="1"/>
        <v>2821000</v>
      </c>
      <c r="K15" s="282">
        <f t="shared" si="1"/>
        <v>4413500</v>
      </c>
      <c r="L15" s="282">
        <f t="shared" si="1"/>
        <v>4413500</v>
      </c>
      <c r="M15" s="282">
        <f t="shared" si="1"/>
        <v>2730000</v>
      </c>
      <c r="N15" s="282">
        <f t="shared" si="1"/>
        <v>2957500</v>
      </c>
      <c r="O15" s="282">
        <f t="shared" si="1"/>
        <v>2593500</v>
      </c>
      <c r="P15" s="282">
        <f t="shared" si="1"/>
        <v>4186000</v>
      </c>
      <c r="Q15" s="282">
        <f t="shared" si="1"/>
        <v>4186000</v>
      </c>
    </row>
    <row r="16" spans="1:17" x14ac:dyDescent="0.2">
      <c r="A16" s="280" t="s">
        <v>64</v>
      </c>
      <c r="B16" s="281">
        <f>'7. Rate Strategy'!F21</f>
        <v>3900000</v>
      </c>
      <c r="C16" s="282">
        <f t="shared" si="1"/>
        <v>2652000</v>
      </c>
      <c r="D16" s="282">
        <f t="shared" si="1"/>
        <v>2847000</v>
      </c>
      <c r="E16" s="282">
        <f t="shared" si="1"/>
        <v>2535000</v>
      </c>
      <c r="F16" s="282">
        <f t="shared" si="1"/>
        <v>3900000</v>
      </c>
      <c r="G16" s="282">
        <f t="shared" si="1"/>
        <v>3900000</v>
      </c>
      <c r="H16" s="282">
        <f t="shared" si="1"/>
        <v>2535000</v>
      </c>
      <c r="I16" s="282">
        <f t="shared" si="1"/>
        <v>2730000</v>
      </c>
      <c r="J16" s="282">
        <f t="shared" si="1"/>
        <v>2418000</v>
      </c>
      <c r="K16" s="282">
        <f t="shared" si="1"/>
        <v>3783000</v>
      </c>
      <c r="L16" s="282">
        <f t="shared" si="1"/>
        <v>3783000</v>
      </c>
      <c r="M16" s="282">
        <f t="shared" si="1"/>
        <v>2340000</v>
      </c>
      <c r="N16" s="282">
        <f t="shared" si="1"/>
        <v>2535000</v>
      </c>
      <c r="O16" s="282">
        <f t="shared" si="1"/>
        <v>2223000</v>
      </c>
      <c r="P16" s="282">
        <f t="shared" si="1"/>
        <v>3588000</v>
      </c>
      <c r="Q16" s="282">
        <f t="shared" si="1"/>
        <v>3588000</v>
      </c>
    </row>
    <row r="17" spans="1:21" x14ac:dyDescent="0.2">
      <c r="A17" s="280" t="s">
        <v>66</v>
      </c>
      <c r="B17" s="281">
        <f>'7. Rate Strategy'!F22</f>
        <v>3737500</v>
      </c>
      <c r="C17" s="282">
        <f t="shared" si="1"/>
        <v>2541500</v>
      </c>
      <c r="D17" s="282">
        <f t="shared" si="1"/>
        <v>2728375</v>
      </c>
      <c r="E17" s="282">
        <f t="shared" si="1"/>
        <v>2429375</v>
      </c>
      <c r="F17" s="282">
        <f t="shared" si="1"/>
        <v>3737500</v>
      </c>
      <c r="G17" s="282">
        <f t="shared" si="1"/>
        <v>3737500</v>
      </c>
      <c r="H17" s="282">
        <f t="shared" si="1"/>
        <v>2429375</v>
      </c>
      <c r="I17" s="282">
        <f t="shared" si="1"/>
        <v>2616250</v>
      </c>
      <c r="J17" s="282">
        <f t="shared" si="1"/>
        <v>2317250</v>
      </c>
      <c r="K17" s="282">
        <f t="shared" si="1"/>
        <v>3625375</v>
      </c>
      <c r="L17" s="282">
        <f t="shared" si="1"/>
        <v>3625375</v>
      </c>
      <c r="M17" s="282">
        <f t="shared" si="1"/>
        <v>2242500</v>
      </c>
      <c r="N17" s="282">
        <f t="shared" si="1"/>
        <v>2429375</v>
      </c>
      <c r="O17" s="282">
        <f t="shared" si="1"/>
        <v>2130375</v>
      </c>
      <c r="P17" s="282">
        <f t="shared" si="1"/>
        <v>3438500</v>
      </c>
      <c r="Q17" s="282">
        <f t="shared" si="1"/>
        <v>3438500</v>
      </c>
    </row>
    <row r="18" spans="1:21" hidden="1" x14ac:dyDescent="0.2">
      <c r="A18" s="280" t="s">
        <v>67</v>
      </c>
      <c r="B18" s="281"/>
      <c r="C18" s="282">
        <f t="shared" si="1"/>
        <v>0</v>
      </c>
      <c r="D18" s="282">
        <f t="shared" si="1"/>
        <v>0</v>
      </c>
      <c r="E18" s="282">
        <f t="shared" si="1"/>
        <v>0</v>
      </c>
      <c r="F18" s="282">
        <f t="shared" si="1"/>
        <v>0</v>
      </c>
      <c r="G18" s="282">
        <f t="shared" si="1"/>
        <v>0</v>
      </c>
      <c r="H18" s="282">
        <f t="shared" si="1"/>
        <v>0</v>
      </c>
      <c r="I18" s="282">
        <f t="shared" si="1"/>
        <v>0</v>
      </c>
      <c r="J18" s="282">
        <f t="shared" si="1"/>
        <v>0</v>
      </c>
      <c r="K18" s="282">
        <f t="shared" si="1"/>
        <v>0</v>
      </c>
      <c r="L18" s="282">
        <f t="shared" si="1"/>
        <v>0</v>
      </c>
      <c r="M18" s="282">
        <f t="shared" si="1"/>
        <v>0</v>
      </c>
      <c r="N18" s="282">
        <f t="shared" si="1"/>
        <v>0</v>
      </c>
      <c r="O18" s="282">
        <f t="shared" si="1"/>
        <v>0</v>
      </c>
      <c r="P18" s="282">
        <f t="shared" si="1"/>
        <v>0</v>
      </c>
      <c r="Q18" s="282">
        <f t="shared" si="1"/>
        <v>0</v>
      </c>
    </row>
    <row r="19" spans="1:21" hidden="1" x14ac:dyDescent="0.2">
      <c r="A19" s="280" t="s">
        <v>68</v>
      </c>
      <c r="B19" s="281"/>
      <c r="C19" s="282">
        <f t="shared" si="1"/>
        <v>0</v>
      </c>
      <c r="D19" s="282">
        <f t="shared" si="1"/>
        <v>0</v>
      </c>
      <c r="E19" s="282">
        <f t="shared" si="1"/>
        <v>0</v>
      </c>
      <c r="F19" s="282">
        <f t="shared" si="1"/>
        <v>0</v>
      </c>
      <c r="G19" s="282">
        <f t="shared" si="1"/>
        <v>0</v>
      </c>
      <c r="H19" s="282">
        <f t="shared" si="1"/>
        <v>0</v>
      </c>
      <c r="I19" s="282">
        <f t="shared" si="1"/>
        <v>0</v>
      </c>
      <c r="J19" s="282">
        <f t="shared" si="1"/>
        <v>0</v>
      </c>
      <c r="K19" s="282">
        <f t="shared" si="1"/>
        <v>0</v>
      </c>
      <c r="L19" s="282">
        <f t="shared" si="1"/>
        <v>0</v>
      </c>
      <c r="M19" s="282">
        <f t="shared" si="1"/>
        <v>0</v>
      </c>
      <c r="N19" s="282">
        <f t="shared" si="1"/>
        <v>0</v>
      </c>
      <c r="O19" s="282">
        <f t="shared" si="1"/>
        <v>0</v>
      </c>
      <c r="P19" s="282">
        <f t="shared" si="1"/>
        <v>0</v>
      </c>
      <c r="Q19" s="282">
        <f t="shared" si="1"/>
        <v>0</v>
      </c>
    </row>
    <row r="20" spans="1:21" ht="12.75" hidden="1" customHeight="1" x14ac:dyDescent="0.2">
      <c r="A20" s="283" t="s">
        <v>69</v>
      </c>
      <c r="B20" s="281"/>
      <c r="C20" s="282">
        <f t="shared" si="1"/>
        <v>0</v>
      </c>
      <c r="D20" s="282">
        <f t="shared" si="1"/>
        <v>0</v>
      </c>
      <c r="E20" s="282">
        <f t="shared" si="1"/>
        <v>0</v>
      </c>
      <c r="F20" s="282">
        <f t="shared" si="1"/>
        <v>0</v>
      </c>
      <c r="G20" s="282">
        <f t="shared" si="1"/>
        <v>0</v>
      </c>
      <c r="H20" s="282">
        <f t="shared" si="1"/>
        <v>0</v>
      </c>
      <c r="I20" s="282">
        <f t="shared" si="1"/>
        <v>0</v>
      </c>
      <c r="J20" s="282">
        <f t="shared" si="1"/>
        <v>0</v>
      </c>
      <c r="K20" s="282">
        <f t="shared" si="1"/>
        <v>0</v>
      </c>
      <c r="L20" s="282">
        <f t="shared" si="1"/>
        <v>0</v>
      </c>
      <c r="M20" s="282">
        <f t="shared" si="1"/>
        <v>0</v>
      </c>
      <c r="N20" s="282">
        <f t="shared" si="1"/>
        <v>0</v>
      </c>
      <c r="O20" s="282">
        <f t="shared" si="1"/>
        <v>0</v>
      </c>
      <c r="P20" s="282">
        <f t="shared" si="1"/>
        <v>0</v>
      </c>
      <c r="Q20" s="282">
        <f t="shared" si="1"/>
        <v>0</v>
      </c>
    </row>
    <row r="21" spans="1:21" ht="12.75" hidden="1" customHeight="1" x14ac:dyDescent="0.2">
      <c r="A21" s="283" t="s">
        <v>140</v>
      </c>
      <c r="B21" s="284"/>
      <c r="C21" s="285">
        <f t="shared" si="1"/>
        <v>0</v>
      </c>
      <c r="D21" s="285">
        <f t="shared" si="1"/>
        <v>0</v>
      </c>
      <c r="E21" s="285">
        <f t="shared" si="1"/>
        <v>0</v>
      </c>
      <c r="F21" s="285">
        <f t="shared" si="1"/>
        <v>0</v>
      </c>
      <c r="G21" s="285">
        <f t="shared" si="1"/>
        <v>0</v>
      </c>
      <c r="H21" s="285">
        <f t="shared" si="1"/>
        <v>0</v>
      </c>
      <c r="I21" s="285">
        <f t="shared" si="1"/>
        <v>0</v>
      </c>
      <c r="J21" s="285">
        <f t="shared" si="1"/>
        <v>0</v>
      </c>
      <c r="K21" s="285">
        <f t="shared" si="1"/>
        <v>0</v>
      </c>
      <c r="L21" s="285">
        <f t="shared" si="1"/>
        <v>0</v>
      </c>
      <c r="M21" s="285">
        <f t="shared" si="1"/>
        <v>0</v>
      </c>
      <c r="N21" s="285">
        <f t="shared" si="1"/>
        <v>0</v>
      </c>
      <c r="O21" s="285">
        <f t="shared" si="1"/>
        <v>0</v>
      </c>
      <c r="P21" s="285">
        <f t="shared" si="1"/>
        <v>0</v>
      </c>
      <c r="Q21" s="286">
        <f t="shared" si="1"/>
        <v>0</v>
      </c>
      <c r="R21" s="438"/>
      <c r="S21" s="438"/>
      <c r="T21" s="438"/>
      <c r="U21" s="438"/>
    </row>
    <row r="22" spans="1:21" x14ac:dyDescent="0.2">
      <c r="A22" s="287" t="s">
        <v>141</v>
      </c>
      <c r="B22" s="288">
        <f>B17</f>
        <v>3737500</v>
      </c>
      <c r="C22" s="288">
        <f t="shared" ref="B22:P22" si="2">C17</f>
        <v>2541500</v>
      </c>
      <c r="D22" s="288">
        <f t="shared" si="2"/>
        <v>2728375</v>
      </c>
      <c r="E22" s="288">
        <f t="shared" si="2"/>
        <v>2429375</v>
      </c>
      <c r="F22" s="288">
        <f t="shared" si="2"/>
        <v>3737500</v>
      </c>
      <c r="G22" s="288">
        <f t="shared" si="2"/>
        <v>3737500</v>
      </c>
      <c r="H22" s="288">
        <f t="shared" si="2"/>
        <v>2429375</v>
      </c>
      <c r="I22" s="288">
        <f t="shared" si="2"/>
        <v>2616250</v>
      </c>
      <c r="J22" s="288">
        <f t="shared" si="2"/>
        <v>2317250</v>
      </c>
      <c r="K22" s="288">
        <f t="shared" si="2"/>
        <v>3625375</v>
      </c>
      <c r="L22" s="288">
        <f t="shared" si="2"/>
        <v>3625375</v>
      </c>
      <c r="M22" s="288">
        <f t="shared" si="2"/>
        <v>2242500</v>
      </c>
      <c r="N22" s="288">
        <f t="shared" si="2"/>
        <v>2429375</v>
      </c>
      <c r="O22" s="288">
        <f t="shared" si="2"/>
        <v>2130375</v>
      </c>
      <c r="P22" s="288">
        <f t="shared" si="2"/>
        <v>3438500</v>
      </c>
      <c r="Q22" s="289">
        <f>$B20-($B20*Q$10)</f>
        <v>0</v>
      </c>
      <c r="R22" s="438"/>
      <c r="S22" s="438"/>
      <c r="T22" s="438"/>
      <c r="U22" s="438"/>
    </row>
    <row r="23" spans="1:21" x14ac:dyDescent="0.2">
      <c r="A23" s="261"/>
      <c r="B23" s="262"/>
      <c r="C23" s="290"/>
      <c r="D23" s="290"/>
      <c r="E23" s="290"/>
      <c r="F23" s="290"/>
      <c r="H23" s="291"/>
      <c r="I23" s="291"/>
      <c r="J23" s="291"/>
      <c r="R23" s="438"/>
      <c r="S23" s="438"/>
      <c r="T23" s="438"/>
      <c r="U23" s="438"/>
    </row>
    <row r="24" spans="1:21" x14ac:dyDescent="0.2">
      <c r="A24" s="292"/>
      <c r="B24" s="293"/>
      <c r="C24" s="439" t="s">
        <v>142</v>
      </c>
      <c r="D24" s="440"/>
      <c r="E24" s="440"/>
      <c r="F24" s="441"/>
      <c r="G24" s="294"/>
      <c r="H24" s="291"/>
      <c r="I24" s="291"/>
      <c r="J24" s="291"/>
      <c r="R24" s="438"/>
      <c r="S24" s="438"/>
      <c r="T24" s="438"/>
      <c r="U24" s="438"/>
    </row>
    <row r="25" spans="1:21" s="263" customFormat="1" ht="29.1" customHeight="1" x14ac:dyDescent="0.25">
      <c r="A25" s="295"/>
      <c r="B25" s="437" t="s">
        <v>143</v>
      </c>
      <c r="C25" s="296" t="s">
        <v>144</v>
      </c>
      <c r="D25" s="297" t="s">
        <v>99</v>
      </c>
      <c r="E25" s="297" t="s">
        <v>100</v>
      </c>
      <c r="F25" s="298" t="s">
        <v>190</v>
      </c>
      <c r="G25" s="299"/>
    </row>
    <row r="26" spans="1:21" ht="23.25" customHeight="1" x14ac:dyDescent="0.25">
      <c r="A26" s="300"/>
      <c r="B26" s="437"/>
      <c r="C26" s="301">
        <v>-500000</v>
      </c>
      <c r="D26" s="301">
        <v>-500000</v>
      </c>
      <c r="E26" s="301">
        <v>-700000</v>
      </c>
      <c r="F26" s="302"/>
      <c r="G26" s="303"/>
    </row>
    <row r="27" spans="1:21" ht="15" x14ac:dyDescent="0.25">
      <c r="A27" s="304" t="s">
        <v>145</v>
      </c>
      <c r="B27" s="305">
        <f>'7. Rate Strategy'!F32</f>
        <v>2150000</v>
      </c>
      <c r="C27" s="306">
        <f>$B27-C$26</f>
        <v>2650000</v>
      </c>
      <c r="D27" s="306">
        <f>$B27-D$26</f>
        <v>2650000</v>
      </c>
      <c r="E27" s="306">
        <f>$B27-E$26</f>
        <v>2850000</v>
      </c>
      <c r="F27" s="307">
        <f>$B27-($B27*F$26)</f>
        <v>2150000</v>
      </c>
      <c r="G27" s="308"/>
      <c r="H27" s="247" t="s">
        <v>146</v>
      </c>
    </row>
    <row r="28" spans="1:21" ht="15" x14ac:dyDescent="0.25">
      <c r="A28" s="304" t="s">
        <v>79</v>
      </c>
      <c r="B28" s="305">
        <f>'7. Rate Strategy'!F33</f>
        <v>2100000</v>
      </c>
      <c r="C28" s="306">
        <f>$B$28-C$26</f>
        <v>2600000</v>
      </c>
      <c r="D28" s="306">
        <f>$B$28-D$26</f>
        <v>2600000</v>
      </c>
      <c r="E28" s="306">
        <f>$B$28-E$26</f>
        <v>2800000</v>
      </c>
      <c r="F28" s="307">
        <f>$B28-($B28*F$26)</f>
        <v>2100000</v>
      </c>
      <c r="G28" s="308"/>
    </row>
    <row r="29" spans="1:21" ht="15" x14ac:dyDescent="0.25">
      <c r="A29" s="304" t="s">
        <v>147</v>
      </c>
      <c r="B29" s="305">
        <f>'7. Rate Strategy'!F34</f>
        <v>2050000</v>
      </c>
      <c r="C29" s="306">
        <f>$B$29-C$26</f>
        <v>2550000</v>
      </c>
      <c r="D29" s="306">
        <f>$B$29-D$26</f>
        <v>2550000</v>
      </c>
      <c r="E29" s="306">
        <f>$B$29-E$26</f>
        <v>2750000</v>
      </c>
      <c r="F29" s="307">
        <f>$B29-($B29*F$26)</f>
        <v>2050000</v>
      </c>
      <c r="G29" s="308"/>
    </row>
    <row r="30" spans="1:21" ht="15" x14ac:dyDescent="0.25">
      <c r="A30" s="304" t="s">
        <v>148</v>
      </c>
      <c r="B30" s="309"/>
      <c r="C30" s="306">
        <f t="shared" ref="C30:E31" si="3">$B30-($B30*C$26)</f>
        <v>0</v>
      </c>
      <c r="D30" s="310">
        <f t="shared" si="3"/>
        <v>0</v>
      </c>
      <c r="E30" s="310">
        <f t="shared" si="3"/>
        <v>0</v>
      </c>
      <c r="F30" s="307">
        <f>$B30-($B30*F$26)</f>
        <v>0</v>
      </c>
      <c r="G30" s="308"/>
    </row>
    <row r="31" spans="1:21" ht="15" x14ac:dyDescent="0.25">
      <c r="A31" s="311" t="s">
        <v>149</v>
      </c>
      <c r="B31" s="312"/>
      <c r="C31" s="313">
        <f t="shared" si="3"/>
        <v>0</v>
      </c>
      <c r="D31" s="314">
        <f t="shared" si="3"/>
        <v>0</v>
      </c>
      <c r="E31" s="314">
        <f t="shared" si="3"/>
        <v>0</v>
      </c>
      <c r="F31" s="315">
        <f>$B31-($B31*F$26)</f>
        <v>0</v>
      </c>
      <c r="G31" s="308"/>
    </row>
    <row r="32" spans="1:21" ht="15" x14ac:dyDescent="0.25">
      <c r="A32" s="304" t="s">
        <v>150</v>
      </c>
      <c r="B32" s="305"/>
      <c r="C32" s="442" t="s">
        <v>151</v>
      </c>
      <c r="D32" s="443"/>
      <c r="E32" s="443"/>
      <c r="F32" s="444"/>
      <c r="G32" s="308"/>
    </row>
    <row r="33" spans="1:10" ht="15" x14ac:dyDescent="0.25">
      <c r="A33" s="304" t="s">
        <v>152</v>
      </c>
      <c r="B33" s="305"/>
      <c r="C33" s="445"/>
      <c r="D33" s="446"/>
      <c r="E33" s="446"/>
      <c r="F33" s="446"/>
      <c r="G33" s="308"/>
    </row>
    <row r="34" spans="1:10" ht="15" x14ac:dyDescent="0.25">
      <c r="A34" s="304" t="s">
        <v>153</v>
      </c>
      <c r="B34" s="305"/>
      <c r="C34" s="445"/>
      <c r="D34" s="446"/>
      <c r="E34" s="446"/>
      <c r="F34" s="446"/>
      <c r="G34" s="308"/>
    </row>
    <row r="35" spans="1:10" ht="15" x14ac:dyDescent="0.25">
      <c r="A35" s="304" t="s">
        <v>154</v>
      </c>
      <c r="B35" s="305"/>
      <c r="C35" s="445"/>
      <c r="D35" s="446"/>
      <c r="E35" s="446"/>
      <c r="F35" s="446"/>
      <c r="G35" s="308"/>
    </row>
    <row r="36" spans="1:10" ht="15" x14ac:dyDescent="0.25">
      <c r="A36" s="304" t="s">
        <v>155</v>
      </c>
      <c r="B36" s="305"/>
      <c r="C36" s="445"/>
      <c r="D36" s="446"/>
      <c r="E36" s="446"/>
      <c r="F36" s="446"/>
      <c r="G36" s="308"/>
    </row>
    <row r="37" spans="1:10" ht="15" x14ac:dyDescent="0.25">
      <c r="A37" s="316"/>
      <c r="B37" s="316"/>
      <c r="C37" s="308"/>
      <c r="D37" s="308"/>
      <c r="E37" s="308"/>
      <c r="F37" s="247"/>
      <c r="G37" s="308"/>
      <c r="H37" s="308"/>
      <c r="I37" s="308"/>
      <c r="J37" s="308"/>
    </row>
    <row r="38" spans="1:10" ht="15" x14ac:dyDescent="0.25">
      <c r="A38" s="317" t="s">
        <v>87</v>
      </c>
      <c r="B38" s="318">
        <f>B27</f>
        <v>2150000</v>
      </c>
      <c r="C38" s="319"/>
      <c r="D38" s="320"/>
      <c r="E38" s="320"/>
      <c r="F38" s="320"/>
      <c r="G38" s="308"/>
      <c r="H38" s="308"/>
      <c r="I38" s="308"/>
      <c r="J38" s="308"/>
    </row>
    <row r="39" spans="1:10" ht="15" x14ac:dyDescent="0.25">
      <c r="A39" s="317" t="s">
        <v>89</v>
      </c>
      <c r="B39" s="318">
        <f>B28</f>
        <v>2100000</v>
      </c>
      <c r="C39" s="319"/>
      <c r="D39" s="320"/>
      <c r="E39" s="320"/>
      <c r="F39" s="320"/>
      <c r="G39" s="308"/>
      <c r="H39" s="308"/>
      <c r="I39" s="308"/>
      <c r="J39" s="308"/>
    </row>
    <row r="40" spans="1:10" ht="15" x14ac:dyDescent="0.25">
      <c r="A40" s="317" t="s">
        <v>91</v>
      </c>
      <c r="B40" s="318">
        <v>0</v>
      </c>
      <c r="C40" s="319"/>
      <c r="D40" s="320"/>
      <c r="E40" s="320"/>
      <c r="F40" s="320"/>
      <c r="G40" s="308"/>
      <c r="H40" s="308"/>
      <c r="I40" s="308"/>
      <c r="J40" s="308"/>
    </row>
    <row r="41" spans="1:10" ht="15" x14ac:dyDescent="0.25">
      <c r="A41" s="317" t="s">
        <v>92</v>
      </c>
      <c r="B41" s="318"/>
      <c r="C41" s="319"/>
      <c r="D41" s="320"/>
      <c r="E41" s="320"/>
      <c r="F41" s="320"/>
      <c r="G41" s="308"/>
      <c r="H41" s="308"/>
      <c r="I41" s="308"/>
      <c r="J41" s="308"/>
    </row>
    <row r="42" spans="1:10" ht="15" x14ac:dyDescent="0.25">
      <c r="A42" s="317" t="s">
        <v>93</v>
      </c>
      <c r="B42" s="318"/>
      <c r="C42" s="319"/>
      <c r="D42" s="320"/>
      <c r="E42" s="320"/>
      <c r="F42" s="320"/>
      <c r="G42" s="308"/>
      <c r="H42" s="308"/>
      <c r="I42" s="308"/>
      <c r="J42" s="308"/>
    </row>
    <row r="43" spans="1:10" ht="13.35" customHeight="1" x14ac:dyDescent="0.25">
      <c r="A43" s="321" t="s">
        <v>94</v>
      </c>
      <c r="B43" s="322"/>
      <c r="C43" s="319"/>
      <c r="D43" s="320"/>
      <c r="E43" s="320"/>
      <c r="F43" s="320"/>
      <c r="G43" s="308"/>
      <c r="H43" s="308"/>
      <c r="I43" s="308"/>
      <c r="J43" s="308"/>
    </row>
    <row r="44" spans="1:10" ht="15" x14ac:dyDescent="0.25">
      <c r="A44" s="317" t="s">
        <v>156</v>
      </c>
      <c r="B44" s="318"/>
      <c r="C44" s="447" t="s">
        <v>157</v>
      </c>
      <c r="D44" s="448"/>
      <c r="E44" s="448"/>
      <c r="F44" s="448"/>
      <c r="G44" s="308"/>
      <c r="H44" s="308"/>
      <c r="I44" s="308"/>
      <c r="J44" s="308"/>
    </row>
    <row r="45" spans="1:10" ht="15" x14ac:dyDescent="0.25">
      <c r="A45" s="317" t="s">
        <v>158</v>
      </c>
      <c r="B45" s="318"/>
      <c r="C45" s="447"/>
      <c r="D45" s="448"/>
      <c r="E45" s="448"/>
      <c r="F45" s="448"/>
      <c r="G45" s="308"/>
      <c r="H45" s="308"/>
      <c r="I45" s="308"/>
      <c r="J45" s="308"/>
    </row>
    <row r="46" spans="1:10" ht="15" x14ac:dyDescent="0.25">
      <c r="A46" s="317" t="s">
        <v>159</v>
      </c>
      <c r="B46" s="318"/>
      <c r="C46" s="447"/>
      <c r="D46" s="448"/>
      <c r="E46" s="448"/>
      <c r="F46" s="448"/>
      <c r="G46" s="308"/>
      <c r="H46" s="308"/>
      <c r="I46" s="308"/>
      <c r="J46" s="308"/>
    </row>
    <row r="47" spans="1:10" ht="15" x14ac:dyDescent="0.25">
      <c r="A47" s="317" t="s">
        <v>160</v>
      </c>
      <c r="B47" s="318"/>
      <c r="C47" s="449"/>
      <c r="D47" s="450"/>
      <c r="E47" s="450"/>
      <c r="F47" s="450"/>
      <c r="G47" s="308"/>
      <c r="H47" s="308"/>
      <c r="I47" s="308"/>
      <c r="J47" s="308"/>
    </row>
    <row r="48" spans="1:10" ht="15" x14ac:dyDescent="0.25">
      <c r="A48" s="292"/>
      <c r="B48" s="293"/>
      <c r="C48" s="439" t="s">
        <v>161</v>
      </c>
      <c r="D48" s="440"/>
      <c r="E48" s="440"/>
      <c r="F48" s="441"/>
      <c r="G48" s="308"/>
      <c r="H48" s="308"/>
      <c r="I48" s="308"/>
      <c r="J48" s="308"/>
    </row>
    <row r="49" spans="1:10" s="263" customFormat="1" ht="15" x14ac:dyDescent="0.25">
      <c r="A49" s="323"/>
      <c r="B49" s="437" t="s">
        <v>143</v>
      </c>
      <c r="C49" s="296" t="s">
        <v>98</v>
      </c>
      <c r="D49" s="297" t="s">
        <v>99</v>
      </c>
      <c r="E49" s="297" t="s">
        <v>100</v>
      </c>
      <c r="F49" s="298"/>
      <c r="G49" s="308"/>
    </row>
    <row r="50" spans="1:10" ht="39.75" customHeight="1" x14ac:dyDescent="0.25">
      <c r="A50" s="317"/>
      <c r="B50" s="437"/>
      <c r="C50" s="324">
        <v>-300000</v>
      </c>
      <c r="D50" s="401">
        <v>-600000</v>
      </c>
      <c r="E50" s="402">
        <v>-800000</v>
      </c>
      <c r="F50" s="325">
        <v>0.1</v>
      </c>
      <c r="G50" s="308"/>
    </row>
    <row r="51" spans="1:10" ht="15" x14ac:dyDescent="0.25">
      <c r="A51" s="317" t="s">
        <v>162</v>
      </c>
      <c r="B51" s="305">
        <f>'7. Rate Strategy'!F49</f>
        <v>2400000</v>
      </c>
      <c r="C51" s="306">
        <f>$B$51-C50</f>
        <v>2700000</v>
      </c>
      <c r="D51" s="306">
        <f>$B$51-D50</f>
        <v>3000000</v>
      </c>
      <c r="E51" s="306">
        <f>$B$51-E50</f>
        <v>3200000</v>
      </c>
      <c r="F51" s="306">
        <f>$B51-($B51*F$50)</f>
        <v>2160000</v>
      </c>
      <c r="G51" s="308"/>
    </row>
    <row r="52" spans="1:10" ht="15" x14ac:dyDescent="0.25">
      <c r="A52" s="317" t="s">
        <v>163</v>
      </c>
      <c r="B52" s="305">
        <f>'7. Rate Strategy'!F57</f>
        <v>2300000</v>
      </c>
      <c r="C52" s="306">
        <f>$B$52-C50</f>
        <v>2600000</v>
      </c>
      <c r="D52" s="306">
        <f>$B$52-D50</f>
        <v>2900000</v>
      </c>
      <c r="E52" s="306">
        <f>$B$52-E50</f>
        <v>3100000</v>
      </c>
      <c r="F52" s="306">
        <f>$B52-($B52*F$50)</f>
        <v>2070000</v>
      </c>
      <c r="G52" s="308"/>
    </row>
    <row r="53" spans="1:10" ht="15" x14ac:dyDescent="0.25">
      <c r="A53" s="317" t="s">
        <v>164</v>
      </c>
      <c r="B53" s="305">
        <f>'7. Rate Strategy'!F57</f>
        <v>2300000</v>
      </c>
      <c r="C53" s="306">
        <f>$B$53-C50</f>
        <v>2600000</v>
      </c>
      <c r="D53" s="306">
        <f>$B$53-D50</f>
        <v>2900000</v>
      </c>
      <c r="E53" s="306">
        <f>$B$53-E50</f>
        <v>3100000</v>
      </c>
      <c r="F53" s="306">
        <f>$B53-($B53*F$50)</f>
        <v>2070000</v>
      </c>
      <c r="G53" s="308"/>
    </row>
    <row r="54" spans="1:10" ht="15" x14ac:dyDescent="0.25">
      <c r="A54" s="317" t="s">
        <v>165</v>
      </c>
      <c r="B54" s="305">
        <v>0</v>
      </c>
      <c r="C54" s="306">
        <f t="shared" ref="C54:E55" si="4">$B54-($B54*C$50)</f>
        <v>0</v>
      </c>
      <c r="D54" s="306">
        <f t="shared" si="4"/>
        <v>0</v>
      </c>
      <c r="E54" s="306">
        <f t="shared" si="4"/>
        <v>0</v>
      </c>
      <c r="F54" s="306">
        <f>$B54-($B54*F$50)</f>
        <v>0</v>
      </c>
      <c r="G54" s="308"/>
    </row>
    <row r="55" spans="1:10" ht="15" x14ac:dyDescent="0.25">
      <c r="A55" s="321" t="s">
        <v>166</v>
      </c>
      <c r="B55" s="312">
        <v>0</v>
      </c>
      <c r="C55" s="313">
        <f t="shared" si="4"/>
        <v>0</v>
      </c>
      <c r="D55" s="313">
        <f t="shared" si="4"/>
        <v>0</v>
      </c>
      <c r="E55" s="313">
        <f t="shared" si="4"/>
        <v>0</v>
      </c>
      <c r="F55" s="313">
        <f>$B55-($B55*F$50)</f>
        <v>0</v>
      </c>
      <c r="G55" s="308"/>
    </row>
    <row r="56" spans="1:10" ht="24.75" customHeight="1" x14ac:dyDescent="0.25">
      <c r="A56" s="317"/>
      <c r="B56" s="437" t="s">
        <v>143</v>
      </c>
      <c r="C56" s="403" t="s">
        <v>167</v>
      </c>
      <c r="D56" s="404" t="s">
        <v>167</v>
      </c>
      <c r="E56" s="405"/>
      <c r="F56" s="406"/>
      <c r="G56" s="308"/>
    </row>
    <row r="57" spans="1:10" ht="30.75" customHeight="1" x14ac:dyDescent="0.25">
      <c r="A57" s="317"/>
      <c r="B57" s="437"/>
      <c r="C57" s="407">
        <v>0.15</v>
      </c>
      <c r="D57" s="407">
        <v>0.1</v>
      </c>
      <c r="E57" s="342">
        <v>0.05</v>
      </c>
      <c r="F57" s="342"/>
      <c r="G57" s="308"/>
      <c r="H57" s="247" t="s">
        <v>168</v>
      </c>
    </row>
    <row r="58" spans="1:10" ht="15" x14ac:dyDescent="0.25">
      <c r="A58" s="326" t="s">
        <v>169</v>
      </c>
      <c r="B58" s="408">
        <f>'7. Rate Strategy'!F61</f>
        <v>2600000</v>
      </c>
      <c r="C58" s="409">
        <f>B58-(B58*C57)</f>
        <v>2210000</v>
      </c>
      <c r="D58" s="409">
        <f>B58-(B58*D57)</f>
        <v>2340000</v>
      </c>
      <c r="E58" s="409">
        <f>B58-(B58*E57)</f>
        <v>2470000</v>
      </c>
      <c r="F58" s="341"/>
      <c r="G58" s="308"/>
    </row>
    <row r="59" spans="1:10" ht="15" x14ac:dyDescent="0.25">
      <c r="A59" s="326" t="s">
        <v>170</v>
      </c>
      <c r="B59" s="344">
        <f>'7. Rate Strategy'!F65</f>
        <v>2550000</v>
      </c>
      <c r="C59" s="410">
        <f>B59-(B59*C57)</f>
        <v>2167500</v>
      </c>
      <c r="D59" s="410">
        <f>B59-(B59*D57)</f>
        <v>2295000</v>
      </c>
      <c r="E59" s="411">
        <f>B59-(B59*E57)</f>
        <v>2422500</v>
      </c>
      <c r="F59" s="343"/>
      <c r="G59" s="308"/>
      <c r="H59" s="327"/>
      <c r="I59" s="327"/>
      <c r="J59" s="327"/>
    </row>
    <row r="60" spans="1:10" ht="16.350000000000001" customHeight="1" x14ac:dyDescent="0.25">
      <c r="A60" s="328" t="s">
        <v>109</v>
      </c>
      <c r="B60" s="329">
        <f>'7. Rate Strategy'!F73</f>
        <v>1900000</v>
      </c>
      <c r="C60" s="330" t="s">
        <v>171</v>
      </c>
      <c r="G60" s="330"/>
    </row>
    <row r="61" spans="1:10" ht="15" x14ac:dyDescent="0.25">
      <c r="A61" s="331" t="s">
        <v>111</v>
      </c>
      <c r="B61" s="329">
        <f>'7. Rate Strategy'!F74</f>
        <v>2050000</v>
      </c>
      <c r="C61" s="330"/>
      <c r="D61" s="330"/>
      <c r="E61" s="330"/>
      <c r="G61" s="330"/>
    </row>
    <row r="62" spans="1:10" ht="15" x14ac:dyDescent="0.25">
      <c r="A62" s="261" t="s">
        <v>112</v>
      </c>
      <c r="B62" s="332">
        <f>B60</f>
        <v>1900000</v>
      </c>
      <c r="C62" s="330" t="s">
        <v>172</v>
      </c>
      <c r="D62" s="330"/>
      <c r="E62" s="330"/>
      <c r="G62" s="330"/>
    </row>
    <row r="63" spans="1:10" ht="15" x14ac:dyDescent="0.25">
      <c r="A63" s="331" t="s">
        <v>113</v>
      </c>
      <c r="B63" s="329">
        <f>B62</f>
        <v>1900000</v>
      </c>
      <c r="C63" s="247" t="s">
        <v>173</v>
      </c>
      <c r="D63" s="247"/>
      <c r="E63" s="247"/>
    </row>
    <row r="64" spans="1:10" ht="15" x14ac:dyDescent="0.25">
      <c r="A64" s="261" t="s">
        <v>114</v>
      </c>
      <c r="B64" s="332">
        <f>B63</f>
        <v>1900000</v>
      </c>
      <c r="C64" s="247" t="s">
        <v>174</v>
      </c>
      <c r="D64" s="247"/>
      <c r="E64" s="247"/>
    </row>
    <row r="65" spans="1:7" ht="15" x14ac:dyDescent="0.25">
      <c r="A65" s="331" t="s">
        <v>175</v>
      </c>
      <c r="B65" s="329">
        <f>'7. Rate Strategy'!F81</f>
        <v>2100000</v>
      </c>
      <c r="G65" s="248"/>
    </row>
    <row r="66" spans="1:7" ht="15" x14ac:dyDescent="0.25">
      <c r="A66" s="261" t="s">
        <v>176</v>
      </c>
      <c r="B66" s="332">
        <f>'7. Rate Strategy'!F80</f>
        <v>2150000</v>
      </c>
      <c r="G66" s="248"/>
    </row>
    <row r="67" spans="1:7" ht="15" x14ac:dyDescent="0.25">
      <c r="A67" s="333" t="s">
        <v>177</v>
      </c>
      <c r="B67" s="329"/>
      <c r="G67" s="248"/>
    </row>
    <row r="68" spans="1:7" ht="15" x14ac:dyDescent="0.25">
      <c r="A68" s="334" t="s">
        <v>178</v>
      </c>
      <c r="B68" s="305"/>
      <c r="C68" s="335"/>
      <c r="G68" s="248"/>
    </row>
    <row r="69" spans="1:7" ht="15" x14ac:dyDescent="0.25">
      <c r="A69" s="334" t="s">
        <v>179</v>
      </c>
      <c r="B69" s="305"/>
      <c r="C69" s="335"/>
      <c r="G69" s="248"/>
    </row>
    <row r="70" spans="1:7" ht="15" x14ac:dyDescent="0.25">
      <c r="A70" s="334" t="s">
        <v>180</v>
      </c>
      <c r="B70" s="305"/>
      <c r="C70" s="335"/>
      <c r="G70" s="248"/>
    </row>
    <row r="71" spans="1:7" ht="15" x14ac:dyDescent="0.25">
      <c r="A71" s="334" t="s">
        <v>181</v>
      </c>
      <c r="B71" s="305"/>
      <c r="C71" s="335"/>
      <c r="G71" s="248"/>
    </row>
    <row r="72" spans="1:7" ht="15" x14ac:dyDescent="0.25">
      <c r="A72" s="334" t="s">
        <v>182</v>
      </c>
      <c r="B72" s="305"/>
      <c r="C72" s="335"/>
      <c r="G72" s="248"/>
    </row>
    <row r="73" spans="1:7" ht="15.75" thickBot="1" x14ac:dyDescent="0.3">
      <c r="A73" s="336" t="s">
        <v>183</v>
      </c>
      <c r="B73" s="337">
        <v>0</v>
      </c>
      <c r="C73" s="335"/>
      <c r="G73" s="248"/>
    </row>
    <row r="74" spans="1:7" ht="15" x14ac:dyDescent="0.25">
      <c r="A74" s="338" t="s">
        <v>184</v>
      </c>
      <c r="B74" s="305"/>
      <c r="C74" s="335"/>
      <c r="G74" s="248"/>
    </row>
    <row r="75" spans="1:7" ht="15" x14ac:dyDescent="0.25">
      <c r="A75" s="338" t="s">
        <v>185</v>
      </c>
      <c r="B75" s="305"/>
      <c r="C75" s="335"/>
      <c r="G75" s="248"/>
    </row>
    <row r="76" spans="1:7" ht="15" x14ac:dyDescent="0.25">
      <c r="A76" s="339" t="s">
        <v>186</v>
      </c>
      <c r="B76" s="305"/>
      <c r="C76" s="335"/>
      <c r="G76" s="248"/>
    </row>
    <row r="77" spans="1:7" ht="15" x14ac:dyDescent="0.25">
      <c r="A77" s="331" t="s">
        <v>125</v>
      </c>
      <c r="B77" s="305"/>
      <c r="G77" s="248"/>
    </row>
    <row r="78" spans="1:7" ht="15" x14ac:dyDescent="0.25">
      <c r="A78" s="261" t="s">
        <v>126</v>
      </c>
      <c r="B78" s="340">
        <v>1000000</v>
      </c>
      <c r="G78" s="248"/>
    </row>
  </sheetData>
  <mergeCells count="16">
    <mergeCell ref="B49:B50"/>
    <mergeCell ref="B56:B57"/>
    <mergeCell ref="R21:U24"/>
    <mergeCell ref="C24:F24"/>
    <mergeCell ref="B25:B26"/>
    <mergeCell ref="C32:F36"/>
    <mergeCell ref="C44:F47"/>
    <mergeCell ref="C48:F48"/>
    <mergeCell ref="H2:L4"/>
    <mergeCell ref="C7:G7"/>
    <mergeCell ref="H7:Q7"/>
    <mergeCell ref="A8:A10"/>
    <mergeCell ref="B8:B10"/>
    <mergeCell ref="C8:G8"/>
    <mergeCell ref="H8:L8"/>
    <mergeCell ref="M8:Q8"/>
  </mergeCells>
  <conditionalFormatting sqref="C11:C21">
    <cfRule type="cellIs" dxfId="21" priority="12" stopIfTrue="1" operator="lessThan">
      <formula>$B$28</formula>
    </cfRule>
    <cfRule type="cellIs" dxfId="20" priority="13" stopIfTrue="1" operator="lessThan">
      <formula>$B$52</formula>
    </cfRule>
  </conditionalFormatting>
  <conditionalFormatting sqref="D11:D21">
    <cfRule type="cellIs" dxfId="19" priority="5" stopIfTrue="1" operator="lessThan">
      <formula>$C$28</formula>
    </cfRule>
    <cfRule type="cellIs" dxfId="18" priority="22" stopIfTrue="1" operator="lessThan">
      <formula>$C$52</formula>
    </cfRule>
  </conditionalFormatting>
  <conditionalFormatting sqref="E11:E21">
    <cfRule type="cellIs" dxfId="17" priority="11" stopIfTrue="1" operator="lessThan">
      <formula>$D$52</formula>
    </cfRule>
    <cfRule type="cellIs" dxfId="16" priority="21" stopIfTrue="1" operator="lessThan">
      <formula>$D$28</formula>
    </cfRule>
  </conditionalFormatting>
  <conditionalFormatting sqref="F11:F21">
    <cfRule type="cellIs" dxfId="15" priority="20" stopIfTrue="1" operator="lessThan">
      <formula>$E$28</formula>
    </cfRule>
  </conditionalFormatting>
  <conditionalFormatting sqref="G11:G21">
    <cfRule type="cellIs" dxfId="14" priority="17" stopIfTrue="1" operator="lessThan">
      <formula>$F$28</formula>
    </cfRule>
  </conditionalFormatting>
  <conditionalFormatting sqref="H11:H21">
    <cfRule type="cellIs" dxfId="13" priority="6" stopIfTrue="1" operator="lessThan">
      <formula>$B$29</formula>
    </cfRule>
    <cfRule type="cellIs" dxfId="12" priority="7" stopIfTrue="1" operator="lessThan">
      <formula>$B$52</formula>
    </cfRule>
  </conditionalFormatting>
  <conditionalFormatting sqref="I11:I21">
    <cfRule type="cellIs" dxfId="11" priority="3" stopIfTrue="1" operator="lessThan">
      <formula>$C$29</formula>
    </cfRule>
    <cfRule type="cellIs" dxfId="10" priority="4" stopIfTrue="1" operator="lessThan">
      <formula>$C$52</formula>
    </cfRule>
  </conditionalFormatting>
  <conditionalFormatting sqref="J11:J21">
    <cfRule type="cellIs" dxfId="9" priority="10" stopIfTrue="1" operator="lessThan">
      <formula>$D$28</formula>
    </cfRule>
  </conditionalFormatting>
  <conditionalFormatting sqref="K11:K21 L21:P21">
    <cfRule type="cellIs" dxfId="8" priority="19" stopIfTrue="1" operator="lessThan">
      <formula>$D$29</formula>
    </cfRule>
  </conditionalFormatting>
  <conditionalFormatting sqref="L11:L20">
    <cfRule type="cellIs" dxfId="7" priority="16" stopIfTrue="1" operator="lessThan">
      <formula>$F$28</formula>
    </cfRule>
  </conditionalFormatting>
  <conditionalFormatting sqref="M11:M20">
    <cfRule type="cellIs" dxfId="6" priority="14" stopIfTrue="1" operator="lessThan">
      <formula>$B$28</formula>
    </cfRule>
  </conditionalFormatting>
  <conditionalFormatting sqref="N11:N20">
    <cfRule type="cellIs" dxfId="5" priority="1" stopIfTrue="1" operator="lessThan">
      <formula>$C$28</formula>
    </cfRule>
    <cfRule type="cellIs" dxfId="4" priority="2" stopIfTrue="1" operator="lessThan">
      <formula>$C$52</formula>
    </cfRule>
  </conditionalFormatting>
  <conditionalFormatting sqref="O11:O20">
    <cfRule type="cellIs" dxfId="3" priority="9" stopIfTrue="1" operator="lessThan">
      <formula>$D$28</formula>
    </cfRule>
  </conditionalFormatting>
  <conditionalFormatting sqref="P11:P20">
    <cfRule type="cellIs" dxfId="2" priority="8" stopIfTrue="1" operator="lessThan">
      <formula>$E$28</formula>
    </cfRule>
    <cfRule type="cellIs" dxfId="1" priority="18" stopIfTrue="1" operator="lessThan">
      <formula>$E$52</formula>
    </cfRule>
  </conditionalFormatting>
  <conditionalFormatting sqref="Q11:Q21">
    <cfRule type="cellIs" dxfId="0" priority="15" stopIfTrue="1" operator="lessThan">
      <formula>$F$28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F0F5-ACE1-4567-BF1F-2EC133F7CD4F}">
  <dimension ref="A1:BN98"/>
  <sheetViews>
    <sheetView zoomScale="118" zoomScaleNormal="115" workbookViewId="0">
      <pane xSplit="5" ySplit="15" topLeftCell="G21" activePane="bottomRight" state="frozen"/>
      <selection pane="topRight" activeCell="F1" sqref="F1"/>
      <selection pane="bottomLeft" activeCell="A14" sqref="A14"/>
      <selection pane="bottomRight" activeCell="F32" sqref="F32:R32"/>
    </sheetView>
  </sheetViews>
  <sheetFormatPr defaultColWidth="12.42578125" defaultRowHeight="12.75" x14ac:dyDescent="0.25"/>
  <cols>
    <col min="1" max="1" width="2.140625" style="384" customWidth="1"/>
    <col min="2" max="2" width="27.28515625" style="384" customWidth="1"/>
    <col min="3" max="3" width="5.85546875" style="385" customWidth="1"/>
    <col min="4" max="4" width="9.42578125" style="385" customWidth="1"/>
    <col min="5" max="5" width="9.140625" style="386" customWidth="1"/>
    <col min="6" max="8" width="10.7109375" style="384" customWidth="1"/>
    <col min="9" max="9" width="10.7109375" style="387" customWidth="1"/>
    <col min="10" max="18" width="10.7109375" style="384" customWidth="1"/>
    <col min="19" max="19" width="2.42578125" style="384" hidden="1" customWidth="1"/>
    <col min="20" max="20" width="19.28515625" style="384" hidden="1" customWidth="1"/>
    <col min="21" max="21" width="1.7109375" style="384" hidden="1" customWidth="1"/>
    <col min="22" max="22" width="15.7109375" style="384" hidden="1" customWidth="1"/>
    <col min="23" max="23" width="2.28515625" style="384" hidden="1" customWidth="1"/>
    <col min="24" max="24" width="12.85546875" style="384" hidden="1" customWidth="1"/>
    <col min="25" max="25" width="9.140625" style="384" hidden="1" customWidth="1"/>
    <col min="26" max="27" width="12.85546875" style="384" hidden="1" customWidth="1"/>
    <col min="28" max="28" width="8.140625" style="384" hidden="1" customWidth="1"/>
    <col min="29" max="29" width="9.28515625" style="384" hidden="1" customWidth="1"/>
    <col min="30" max="30" width="9.28515625" style="387" hidden="1" customWidth="1"/>
    <col min="31" max="31" width="9.28515625" style="384" hidden="1" customWidth="1"/>
    <col min="32" max="32" width="10.42578125" style="384" hidden="1" customWidth="1"/>
    <col min="33" max="41" width="10.7109375" style="384" hidden="1" customWidth="1"/>
    <col min="42" max="42" width="9.140625" style="379" hidden="1" customWidth="1"/>
    <col min="43" max="43" width="5.85546875" style="379" hidden="1" customWidth="1"/>
    <col min="44" max="44" width="13.28515625" style="384" hidden="1" customWidth="1"/>
    <col min="45" max="45" width="13.28515625" style="387" hidden="1" customWidth="1"/>
    <col min="46" max="46" width="16.28515625" style="384" hidden="1" customWidth="1"/>
    <col min="47" max="53" width="13.28515625" style="384" hidden="1" customWidth="1"/>
    <col min="54" max="54" width="16.85546875" style="384" hidden="1" customWidth="1"/>
    <col min="55" max="55" width="17.140625" style="384" hidden="1" customWidth="1"/>
    <col min="56" max="56" width="20.85546875" style="384" hidden="1" customWidth="1"/>
    <col min="57" max="57" width="16.42578125" style="387" hidden="1" customWidth="1"/>
    <col min="58" max="58" width="15.85546875" style="369" hidden="1" customWidth="1"/>
    <col min="59" max="59" width="12.28515625" style="384" hidden="1" customWidth="1"/>
    <col min="60" max="60" width="19.7109375" style="384" hidden="1" customWidth="1"/>
    <col min="61" max="61" width="14.140625" style="384" hidden="1" customWidth="1"/>
    <col min="62" max="62" width="17.7109375" style="384" hidden="1" customWidth="1"/>
    <col min="63" max="63" width="14.28515625" style="384" customWidth="1"/>
    <col min="64" max="67" width="12.42578125" style="384" customWidth="1"/>
    <col min="68" max="16384" width="12.42578125" style="384"/>
  </cols>
  <sheetData>
    <row r="1" spans="1:63" s="5" customFormat="1" ht="15.75" hidden="1" x14ac:dyDescent="0.25">
      <c r="A1" s="1"/>
      <c r="B1" s="2" t="s">
        <v>0</v>
      </c>
      <c r="C1" s="1"/>
      <c r="D1" s="1"/>
      <c r="E1" s="353"/>
      <c r="F1" s="1"/>
      <c r="G1" s="3"/>
      <c r="H1" s="1"/>
      <c r="I1" s="4"/>
      <c r="AP1" s="6"/>
      <c r="AQ1" s="6"/>
      <c r="BF1" s="7"/>
    </row>
    <row r="2" spans="1:63" s="5" customFormat="1" ht="15.75" hidden="1" x14ac:dyDescent="0.2">
      <c r="A2" s="1"/>
      <c r="B2" s="8" t="s">
        <v>1</v>
      </c>
      <c r="C2" s="1"/>
      <c r="D2" s="1"/>
      <c r="E2" s="353"/>
      <c r="F2" s="1"/>
      <c r="G2" s="3"/>
      <c r="H2" s="1"/>
      <c r="I2" s="4"/>
      <c r="AP2" s="6"/>
      <c r="AQ2" s="6"/>
      <c r="BF2" s="7"/>
    </row>
    <row r="3" spans="1:63" s="9" customFormat="1" hidden="1" x14ac:dyDescent="0.25">
      <c r="C3" s="10"/>
      <c r="D3" s="10"/>
      <c r="E3" s="354"/>
      <c r="F3" s="10"/>
      <c r="G3" s="11"/>
      <c r="H3" s="10"/>
      <c r="I3" s="12"/>
      <c r="Y3" s="13" t="s">
        <v>2</v>
      </c>
      <c r="Z3" s="13"/>
      <c r="AF3" s="14"/>
      <c r="AG3" s="14"/>
      <c r="AH3" s="15"/>
      <c r="AI3" s="16"/>
      <c r="AJ3" s="16"/>
      <c r="AK3" s="16"/>
      <c r="AL3" s="16"/>
      <c r="AM3" s="16"/>
      <c r="AN3" s="16"/>
      <c r="AO3" s="16"/>
      <c r="AP3" s="6"/>
      <c r="BF3" s="14"/>
    </row>
    <row r="4" spans="1:63" s="17" customFormat="1" hidden="1" x14ac:dyDescent="0.25">
      <c r="B4" s="18" t="s">
        <v>3</v>
      </c>
      <c r="C4" s="19" t="s">
        <v>4</v>
      </c>
      <c r="D4" s="20"/>
      <c r="E4" s="355"/>
      <c r="F4" s="21"/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3"/>
      <c r="T4" s="24"/>
      <c r="U4" s="24"/>
      <c r="X4" s="10" t="s">
        <v>5</v>
      </c>
      <c r="Y4" s="25">
        <v>0</v>
      </c>
      <c r="Z4" s="25">
        <v>280000</v>
      </c>
      <c r="AA4" s="24"/>
      <c r="AB4" s="24"/>
      <c r="AC4" s="24"/>
      <c r="AD4" s="26"/>
      <c r="AP4" s="27"/>
      <c r="BF4" s="28"/>
    </row>
    <row r="5" spans="1:63" s="17" customFormat="1" hidden="1" x14ac:dyDescent="0.2">
      <c r="B5" s="29" t="s">
        <v>6</v>
      </c>
      <c r="C5" s="19" t="s">
        <v>4</v>
      </c>
      <c r="D5" s="20"/>
      <c r="E5" s="355"/>
      <c r="F5" s="21"/>
      <c r="G5" s="21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30"/>
      <c r="T5" s="10"/>
      <c r="U5" s="10"/>
      <c r="X5" s="10" t="s">
        <v>7</v>
      </c>
      <c r="Y5" s="31">
        <v>0</v>
      </c>
      <c r="Z5" s="31">
        <v>1.8</v>
      </c>
      <c r="AA5" s="32"/>
      <c r="AB5" s="32"/>
      <c r="AC5" s="32"/>
      <c r="AD5" s="26"/>
      <c r="AP5" s="27"/>
      <c r="BF5" s="28"/>
    </row>
    <row r="6" spans="1:63" s="19" customFormat="1" ht="14.1" hidden="1" customHeight="1" x14ac:dyDescent="0.25">
      <c r="B6" s="365"/>
      <c r="E6" s="451"/>
      <c r="F6" s="451"/>
      <c r="G6" s="451"/>
      <c r="H6" s="451"/>
      <c r="I6" s="451"/>
      <c r="J6" s="451"/>
      <c r="K6" s="451"/>
      <c r="L6" s="451"/>
      <c r="M6" s="30"/>
      <c r="N6" s="30"/>
      <c r="O6" s="30"/>
      <c r="P6" s="30"/>
      <c r="Q6" s="30"/>
      <c r="R6" s="30"/>
      <c r="S6" s="30"/>
      <c r="T6" s="10"/>
      <c r="U6" s="10"/>
      <c r="X6" s="33" t="s">
        <v>8</v>
      </c>
      <c r="Y6" s="34" t="s">
        <v>9</v>
      </c>
      <c r="Z6" s="34" t="s">
        <v>10</v>
      </c>
      <c r="AA6" s="34" t="s">
        <v>11</v>
      </c>
      <c r="AB6" s="34" t="s">
        <v>12</v>
      </c>
      <c r="AC6" s="34" t="s">
        <v>13</v>
      </c>
      <c r="AD6" s="34" t="s">
        <v>14</v>
      </c>
      <c r="AE6" s="34" t="s">
        <v>15</v>
      </c>
      <c r="AF6" s="34"/>
      <c r="AG6" s="34"/>
      <c r="AH6" s="366"/>
      <c r="AS6" s="24"/>
      <c r="BE6" s="24"/>
      <c r="BF6" s="367"/>
    </row>
    <row r="7" spans="1:63" s="19" customFormat="1" hidden="1" x14ac:dyDescent="0.25">
      <c r="C7" s="24"/>
      <c r="D7" s="24"/>
      <c r="E7" s="36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7"/>
      <c r="X7" s="33"/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/>
      <c r="AF7" s="38"/>
      <c r="AG7" s="39" t="s">
        <v>16</v>
      </c>
      <c r="AH7" s="366"/>
      <c r="AS7" s="24"/>
      <c r="BE7" s="24"/>
      <c r="BF7" s="367"/>
    </row>
    <row r="8" spans="1:63" s="19" customFormat="1" ht="28.5" hidden="1" customHeight="1" x14ac:dyDescent="0.25">
      <c r="C8" s="24"/>
      <c r="D8" s="24"/>
      <c r="E8" s="368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7"/>
      <c r="V8" s="33"/>
      <c r="W8" s="33"/>
      <c r="X8" s="40"/>
      <c r="Y8" s="40"/>
      <c r="Z8" s="40"/>
      <c r="AC8" s="24"/>
      <c r="AP8" s="366"/>
      <c r="AQ8" s="366"/>
      <c r="AS8" s="24"/>
      <c r="BE8" s="24"/>
      <c r="BF8" s="367"/>
    </row>
    <row r="9" spans="1:63" s="49" customFormat="1" x14ac:dyDescent="0.2">
      <c r="A9" s="41"/>
      <c r="B9" s="452">
        <v>2024</v>
      </c>
      <c r="C9" s="42"/>
      <c r="D9" s="42"/>
      <c r="E9" s="356" t="s">
        <v>17</v>
      </c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42"/>
      <c r="T9" s="45"/>
      <c r="U9" s="45"/>
      <c r="V9" s="45"/>
      <c r="W9" s="45"/>
      <c r="X9" s="46" t="s">
        <v>18</v>
      </c>
      <c r="Y9" s="46"/>
      <c r="Z9" s="46"/>
      <c r="AA9" s="46"/>
      <c r="AB9" s="46"/>
      <c r="AC9" s="46"/>
      <c r="AD9" s="46"/>
      <c r="AE9" s="47"/>
      <c r="AF9" s="48"/>
      <c r="AG9" s="48"/>
      <c r="AH9" s="47"/>
      <c r="AP9" s="50"/>
      <c r="AQ9" s="50"/>
      <c r="AR9" s="46" t="s">
        <v>19</v>
      </c>
      <c r="AS9" s="47"/>
      <c r="AT9" s="47"/>
      <c r="AU9" s="47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369"/>
    </row>
    <row r="10" spans="1:63" s="73" customFormat="1" ht="24" customHeight="1" x14ac:dyDescent="0.25">
      <c r="A10" s="53"/>
      <c r="B10" s="452"/>
      <c r="C10" s="54"/>
      <c r="D10" s="54"/>
      <c r="E10" s="357" t="s">
        <v>20</v>
      </c>
      <c r="F10" s="55" t="s">
        <v>21</v>
      </c>
      <c r="G10" s="55" t="s">
        <v>22</v>
      </c>
      <c r="H10" s="55" t="s">
        <v>23</v>
      </c>
      <c r="I10" s="55" t="s">
        <v>24</v>
      </c>
      <c r="J10" s="55" t="s">
        <v>25</v>
      </c>
      <c r="K10" s="55" t="s">
        <v>26</v>
      </c>
      <c r="L10" s="55" t="s">
        <v>27</v>
      </c>
      <c r="M10" s="56" t="s">
        <v>28</v>
      </c>
      <c r="N10" s="56" t="s">
        <v>29</v>
      </c>
      <c r="O10" s="55" t="s">
        <v>30</v>
      </c>
      <c r="P10" s="55" t="s">
        <v>31</v>
      </c>
      <c r="Q10" s="56" t="s">
        <v>32</v>
      </c>
      <c r="R10" s="55" t="s">
        <v>33</v>
      </c>
      <c r="S10" s="57"/>
      <c r="T10" s="57"/>
      <c r="U10" s="58"/>
      <c r="V10" s="57"/>
      <c r="W10" s="57"/>
      <c r="X10" s="453" t="s">
        <v>34</v>
      </c>
      <c r="Y10" s="454"/>
      <c r="Z10" s="459" t="s">
        <v>35</v>
      </c>
      <c r="AA10" s="462" t="s">
        <v>36</v>
      </c>
      <c r="AB10" s="59" t="s">
        <v>20</v>
      </c>
      <c r="AC10" s="60" t="str">
        <f t="shared" ref="AC10:AJ10" si="0">F10</f>
        <v>Deluxe Room</v>
      </c>
      <c r="AD10" s="61" t="str">
        <f t="shared" si="0"/>
        <v>Deluxe Pool Access</v>
      </c>
      <c r="AE10" s="62" t="str">
        <f t="shared" si="0"/>
        <v>Premiere Room</v>
      </c>
      <c r="AF10" s="61" t="str">
        <f t="shared" si="0"/>
        <v>Premiere Lagoon Access</v>
      </c>
      <c r="AG10" s="62" t="str">
        <f t="shared" si="0"/>
        <v>Family Premiere</v>
      </c>
      <c r="AH10" s="62" t="str">
        <f t="shared" si="0"/>
        <v>Deluxe Suite</v>
      </c>
      <c r="AI10" s="63" t="str">
        <f t="shared" si="0"/>
        <v>Premiere Suite</v>
      </c>
      <c r="AJ10" s="64" t="str">
        <f t="shared" si="0"/>
        <v>The Anvaya Suite No Pool</v>
      </c>
      <c r="AK10" s="64" t="str">
        <f>O10</f>
        <v>Beach Front Private Suite</v>
      </c>
      <c r="AL10" s="64" t="str">
        <f>N10</f>
        <v>The Anvaya Suite Whirl Pool</v>
      </c>
      <c r="AM10" s="64" t="str">
        <f t="shared" ref="AM10:AO10" si="1">P10</f>
        <v>Anvaya Residence</v>
      </c>
      <c r="AN10" s="64" t="str">
        <f t="shared" si="1"/>
        <v>The Anvaya Suite with Pool</v>
      </c>
      <c r="AO10" s="64" t="str">
        <f t="shared" si="1"/>
        <v>The Anvaya Villa</v>
      </c>
      <c r="AP10" s="65"/>
      <c r="AQ10" s="66"/>
      <c r="AR10" s="67" t="str">
        <f t="shared" ref="AR10:BD10" si="2">AC10</f>
        <v>Deluxe Room</v>
      </c>
      <c r="AS10" s="68" t="str">
        <f t="shared" si="2"/>
        <v>Deluxe Pool Access</v>
      </c>
      <c r="AT10" s="68" t="str">
        <f t="shared" si="2"/>
        <v>Premiere Room</v>
      </c>
      <c r="AU10" s="68" t="str">
        <f t="shared" si="2"/>
        <v>Premiere Lagoon Access</v>
      </c>
      <c r="AV10" s="69" t="str">
        <f t="shared" si="2"/>
        <v>Family Premiere</v>
      </c>
      <c r="AW10" s="69" t="str">
        <f t="shared" si="2"/>
        <v>Deluxe Suite</v>
      </c>
      <c r="AX10" s="70" t="str">
        <f t="shared" si="2"/>
        <v>Premiere Suite</v>
      </c>
      <c r="AY10" s="70" t="str">
        <f t="shared" si="2"/>
        <v>The Anvaya Suite No Pool</v>
      </c>
      <c r="AZ10" s="70" t="str">
        <f t="shared" si="2"/>
        <v>Beach Front Private Suite</v>
      </c>
      <c r="BA10" s="71" t="str">
        <f t="shared" si="2"/>
        <v>The Anvaya Suite Whirl Pool</v>
      </c>
      <c r="BB10" s="70" t="str">
        <f t="shared" si="2"/>
        <v>Anvaya Residence</v>
      </c>
      <c r="BC10" s="70" t="str">
        <f t="shared" si="2"/>
        <v>The Anvaya Suite with Pool</v>
      </c>
      <c r="BD10" s="70" t="str">
        <f t="shared" si="2"/>
        <v>The Anvaya Villa</v>
      </c>
      <c r="BE10" s="463" t="s">
        <v>37</v>
      </c>
      <c r="BF10" s="72"/>
    </row>
    <row r="11" spans="1:63" s="73" customFormat="1" ht="12" x14ac:dyDescent="0.25">
      <c r="A11" s="53"/>
      <c r="B11" s="74"/>
      <c r="C11" s="75"/>
      <c r="D11" s="75"/>
      <c r="E11" s="357" t="s">
        <v>38</v>
      </c>
      <c r="F11" s="76">
        <f>CEILING(F13+(F13*F12),100000)</f>
        <v>6500000</v>
      </c>
      <c r="G11" s="76">
        <f t="shared" ref="G11:R11" si="3">CEILING(G13+(G13*G12),100000)</f>
        <v>7000000</v>
      </c>
      <c r="H11" s="76">
        <f t="shared" si="3"/>
        <v>7400000</v>
      </c>
      <c r="I11" s="76">
        <f t="shared" si="3"/>
        <v>9200000</v>
      </c>
      <c r="J11" s="76">
        <f t="shared" si="3"/>
        <v>11100000</v>
      </c>
      <c r="K11" s="76">
        <f t="shared" si="3"/>
        <v>13800000</v>
      </c>
      <c r="L11" s="76">
        <f t="shared" si="3"/>
        <v>14700000</v>
      </c>
      <c r="M11" s="76">
        <f t="shared" si="3"/>
        <v>18400000</v>
      </c>
      <c r="N11" s="76">
        <f t="shared" si="3"/>
        <v>20000000</v>
      </c>
      <c r="O11" s="76">
        <f t="shared" si="3"/>
        <v>20700000</v>
      </c>
      <c r="P11" s="76">
        <f t="shared" si="3"/>
        <v>20200000</v>
      </c>
      <c r="Q11" s="76">
        <f t="shared" si="3"/>
        <v>26600000</v>
      </c>
      <c r="R11" s="76">
        <f t="shared" si="3"/>
        <v>56100000</v>
      </c>
      <c r="S11" s="57"/>
      <c r="T11" s="77"/>
      <c r="U11" s="78"/>
      <c r="V11" s="79"/>
      <c r="W11" s="79"/>
      <c r="X11" s="455"/>
      <c r="Y11" s="456"/>
      <c r="Z11" s="459"/>
      <c r="AA11" s="462"/>
      <c r="AB11" s="80" t="s">
        <v>39</v>
      </c>
      <c r="AC11" s="81">
        <f>139*365</f>
        <v>50735</v>
      </c>
      <c r="AD11" s="82">
        <f>21*365</f>
        <v>7665</v>
      </c>
      <c r="AE11" s="82">
        <f>264*365</f>
        <v>96360</v>
      </c>
      <c r="AF11" s="82">
        <f>30*365</f>
        <v>10950</v>
      </c>
      <c r="AG11" s="82">
        <f>5*365</f>
        <v>1825</v>
      </c>
      <c r="AH11" s="82">
        <f>5*365</f>
        <v>1825</v>
      </c>
      <c r="AI11" s="83">
        <f>9*365</f>
        <v>3285</v>
      </c>
      <c r="AJ11" s="83">
        <f>4*365</f>
        <v>1460</v>
      </c>
      <c r="AK11" s="83">
        <f>8*365</f>
        <v>2920</v>
      </c>
      <c r="AL11" s="83">
        <f>4*365</f>
        <v>1460</v>
      </c>
      <c r="AM11" s="83">
        <f>1*365</f>
        <v>365</v>
      </c>
      <c r="AN11" s="83">
        <f>2*365</f>
        <v>730</v>
      </c>
      <c r="AO11" s="83">
        <f>1*365</f>
        <v>365</v>
      </c>
      <c r="AP11" s="84">
        <f>SUM(AC11:AO11)</f>
        <v>179945</v>
      </c>
      <c r="AQ11" s="85"/>
      <c r="AR11" s="86"/>
      <c r="AS11" s="87"/>
      <c r="AT11" s="87" t="s">
        <v>40</v>
      </c>
      <c r="AU11" s="87" t="s">
        <v>41</v>
      </c>
      <c r="AV11" s="87" t="s">
        <v>42</v>
      </c>
      <c r="AW11" s="87" t="s">
        <v>43</v>
      </c>
      <c r="AX11" s="88" t="s">
        <v>44</v>
      </c>
      <c r="AY11" s="88" t="s">
        <v>44</v>
      </c>
      <c r="AZ11" s="88" t="s">
        <v>44</v>
      </c>
      <c r="BA11" s="88" t="s">
        <v>44</v>
      </c>
      <c r="BB11" s="88" t="s">
        <v>44</v>
      </c>
      <c r="BC11" s="88" t="s">
        <v>44</v>
      </c>
      <c r="BD11" s="88" t="s">
        <v>44</v>
      </c>
      <c r="BE11" s="464"/>
      <c r="BF11" s="72"/>
    </row>
    <row r="12" spans="1:63" s="106" customFormat="1" ht="12" x14ac:dyDescent="0.25">
      <c r="A12" s="89"/>
      <c r="B12" s="90"/>
      <c r="C12" s="91"/>
      <c r="D12" s="91"/>
      <c r="E12" s="358"/>
      <c r="F12" s="92">
        <v>0.12</v>
      </c>
      <c r="G12" s="92">
        <v>0.12</v>
      </c>
      <c r="H12" s="92">
        <v>0.12</v>
      </c>
      <c r="I12" s="92">
        <v>0.12</v>
      </c>
      <c r="J12" s="92">
        <v>0.12</v>
      </c>
      <c r="K12" s="92">
        <v>0.1</v>
      </c>
      <c r="L12" s="92">
        <v>0.1</v>
      </c>
      <c r="M12" s="92">
        <v>0.1</v>
      </c>
      <c r="N12" s="92">
        <v>0.1</v>
      </c>
      <c r="O12" s="92">
        <v>0.1</v>
      </c>
      <c r="P12" s="92">
        <v>0.06</v>
      </c>
      <c r="Q12" s="92">
        <v>0.1</v>
      </c>
      <c r="R12" s="92">
        <v>0.06</v>
      </c>
      <c r="S12" s="93"/>
      <c r="T12" s="94"/>
      <c r="U12" s="95"/>
      <c r="V12" s="96"/>
      <c r="W12" s="96"/>
      <c r="X12" s="455"/>
      <c r="Y12" s="456"/>
      <c r="Z12" s="459"/>
      <c r="AA12" s="462"/>
      <c r="AB12" s="97"/>
      <c r="AC12" s="98"/>
      <c r="AD12" s="99"/>
      <c r="AE12" s="99"/>
      <c r="AF12" s="99"/>
      <c r="AG12" s="99"/>
      <c r="AH12" s="99"/>
      <c r="AI12" s="100"/>
      <c r="AJ12" s="100"/>
      <c r="AK12" s="100"/>
      <c r="AL12" s="100"/>
      <c r="AM12" s="100"/>
      <c r="AN12" s="100"/>
      <c r="AO12" s="100"/>
      <c r="AP12" s="101"/>
      <c r="AQ12" s="102"/>
      <c r="AR12" s="103"/>
      <c r="AS12" s="104"/>
      <c r="AT12" s="104"/>
      <c r="AU12" s="104"/>
      <c r="AV12" s="104"/>
      <c r="AW12" s="104"/>
      <c r="AX12" s="105"/>
      <c r="AY12" s="105"/>
      <c r="AZ12" s="105"/>
      <c r="BA12" s="105"/>
      <c r="BB12" s="105"/>
      <c r="BC12" s="105"/>
      <c r="BD12" s="105"/>
      <c r="BE12" s="464"/>
    </row>
    <row r="13" spans="1:63" s="73" customFormat="1" ht="12" x14ac:dyDescent="0.25">
      <c r="A13" s="53"/>
      <c r="B13" s="74"/>
      <c r="C13" s="75"/>
      <c r="D13" s="75"/>
      <c r="E13" s="357">
        <v>2025</v>
      </c>
      <c r="F13" s="76">
        <v>5800000</v>
      </c>
      <c r="G13" s="76">
        <v>6250000</v>
      </c>
      <c r="H13" s="76">
        <v>6550000</v>
      </c>
      <c r="I13" s="76">
        <v>8200000</v>
      </c>
      <c r="J13" s="76">
        <v>9900000</v>
      </c>
      <c r="K13" s="76">
        <v>12500000</v>
      </c>
      <c r="L13" s="76">
        <v>13300000</v>
      </c>
      <c r="M13" s="76">
        <v>16650000</v>
      </c>
      <c r="N13" s="76">
        <v>18100000</v>
      </c>
      <c r="O13" s="76">
        <v>18800000</v>
      </c>
      <c r="P13" s="76">
        <v>19050000</v>
      </c>
      <c r="Q13" s="76">
        <v>24100000</v>
      </c>
      <c r="R13" s="76">
        <v>52900000</v>
      </c>
      <c r="S13" s="57"/>
      <c r="T13" s="77"/>
      <c r="U13" s="78"/>
      <c r="V13" s="79"/>
      <c r="W13" s="79"/>
      <c r="X13" s="455"/>
      <c r="Y13" s="456"/>
      <c r="Z13" s="459"/>
      <c r="AA13" s="462"/>
      <c r="AB13" s="80"/>
      <c r="AC13" s="81"/>
      <c r="AD13" s="82"/>
      <c r="AE13" s="82"/>
      <c r="AF13" s="82"/>
      <c r="AG13" s="82"/>
      <c r="AH13" s="82"/>
      <c r="AI13" s="83"/>
      <c r="AJ13" s="83"/>
      <c r="AK13" s="83"/>
      <c r="AL13" s="83"/>
      <c r="AM13" s="83"/>
      <c r="AN13" s="83"/>
      <c r="AO13" s="83"/>
      <c r="AP13" s="84"/>
      <c r="AQ13" s="85"/>
      <c r="AR13" s="107"/>
      <c r="AS13" s="108"/>
      <c r="AT13" s="108"/>
      <c r="AU13" s="108"/>
      <c r="AV13" s="108"/>
      <c r="AW13" s="108"/>
      <c r="AX13" s="109"/>
      <c r="AY13" s="109"/>
      <c r="AZ13" s="109"/>
      <c r="BA13" s="109"/>
      <c r="BB13" s="109"/>
      <c r="BC13" s="109"/>
      <c r="BD13" s="109"/>
      <c r="BE13" s="464"/>
      <c r="BF13" s="72"/>
    </row>
    <row r="14" spans="1:63" s="73" customFormat="1" ht="12" x14ac:dyDescent="0.25">
      <c r="A14" s="53"/>
      <c r="B14" s="74"/>
      <c r="C14" s="75"/>
      <c r="D14" s="75"/>
      <c r="E14" s="357"/>
      <c r="F14" s="110"/>
      <c r="G14" s="388"/>
      <c r="H14" s="388"/>
      <c r="I14" s="388"/>
      <c r="J14" s="388"/>
      <c r="K14" s="388"/>
      <c r="L14" s="388"/>
      <c r="M14" s="111"/>
      <c r="N14" s="111"/>
      <c r="O14" s="111"/>
      <c r="P14" s="111"/>
      <c r="Q14" s="111"/>
      <c r="R14" s="111"/>
      <c r="S14" s="57"/>
      <c r="T14" s="79"/>
      <c r="U14" s="78"/>
      <c r="V14" s="79"/>
      <c r="W14" s="79"/>
      <c r="X14" s="455"/>
      <c r="Y14" s="456"/>
      <c r="Z14" s="459"/>
      <c r="AA14" s="462"/>
      <c r="AB14" s="80" t="s">
        <v>45</v>
      </c>
      <c r="AC14" s="112">
        <v>0.36</v>
      </c>
      <c r="AD14" s="113">
        <v>0.05</v>
      </c>
      <c r="AE14" s="113">
        <v>0.46300000000000002</v>
      </c>
      <c r="AF14" s="113">
        <v>0.08</v>
      </c>
      <c r="AG14" s="113">
        <v>0.01</v>
      </c>
      <c r="AH14" s="113">
        <v>0.01</v>
      </c>
      <c r="AI14" s="114">
        <v>5.0000000000000001E-3</v>
      </c>
      <c r="AJ14" s="114">
        <v>5.0000000000000001E-3</v>
      </c>
      <c r="AK14" s="114">
        <v>4.0000000000000001E-3</v>
      </c>
      <c r="AL14" s="114">
        <v>0.01</v>
      </c>
      <c r="AM14" s="114">
        <v>1E-3</v>
      </c>
      <c r="AN14" s="114">
        <v>1E-3</v>
      </c>
      <c r="AO14" s="114">
        <v>1E-3</v>
      </c>
      <c r="AP14" s="115">
        <f t="shared" ref="AP14:AP26" si="4">SUM(AC14:AO14)</f>
        <v>1</v>
      </c>
      <c r="AQ14" s="116"/>
      <c r="AR14" s="107"/>
      <c r="AS14" s="117"/>
      <c r="AT14" s="117"/>
      <c r="AU14" s="118"/>
      <c r="AV14" s="117"/>
      <c r="AW14" s="117"/>
      <c r="AX14" s="119"/>
      <c r="AY14" s="119"/>
      <c r="AZ14" s="119"/>
      <c r="BA14" s="119"/>
      <c r="BB14" s="119"/>
      <c r="BC14" s="119"/>
      <c r="BD14" s="119"/>
      <c r="BE14" s="464"/>
      <c r="BF14" s="72"/>
    </row>
    <row r="15" spans="1:63" s="73" customFormat="1" ht="12" x14ac:dyDescent="0.25">
      <c r="A15" s="53"/>
      <c r="B15" s="74"/>
      <c r="C15" s="75"/>
      <c r="D15" s="75"/>
      <c r="E15" s="357"/>
      <c r="F15" s="120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2"/>
      <c r="T15" s="79"/>
      <c r="U15" s="78"/>
      <c r="V15" s="79"/>
      <c r="W15" s="79"/>
      <c r="X15" s="457"/>
      <c r="Y15" s="458"/>
      <c r="Z15" s="459"/>
      <c r="AA15" s="462"/>
      <c r="AB15" s="80" t="s">
        <v>46</v>
      </c>
      <c r="AC15" s="123">
        <f t="shared" ref="AC15:AO15" si="5">AC14*$V$17</f>
        <v>51864.153948719999</v>
      </c>
      <c r="AD15" s="123">
        <f t="shared" si="5"/>
        <v>7203.3547151000012</v>
      </c>
      <c r="AE15" s="123">
        <f t="shared" si="5"/>
        <v>66703.064661826007</v>
      </c>
      <c r="AF15" s="123">
        <f t="shared" si="5"/>
        <v>11525.367544160001</v>
      </c>
      <c r="AG15" s="123">
        <f t="shared" si="5"/>
        <v>1440.6709430200001</v>
      </c>
      <c r="AH15" s="123">
        <f t="shared" si="5"/>
        <v>1440.6709430200001</v>
      </c>
      <c r="AI15" s="123">
        <f t="shared" si="5"/>
        <v>720.33547151000005</v>
      </c>
      <c r="AJ15" s="123">
        <f t="shared" si="5"/>
        <v>720.33547151000005</v>
      </c>
      <c r="AK15" s="123">
        <f t="shared" si="5"/>
        <v>576.26837720800006</v>
      </c>
      <c r="AL15" s="123">
        <f t="shared" si="5"/>
        <v>1440.6709430200001</v>
      </c>
      <c r="AM15" s="123">
        <f t="shared" si="5"/>
        <v>144.06709430200002</v>
      </c>
      <c r="AN15" s="123">
        <f t="shared" si="5"/>
        <v>144.06709430200002</v>
      </c>
      <c r="AO15" s="123">
        <f t="shared" si="5"/>
        <v>144.06709430200002</v>
      </c>
      <c r="AP15" s="124">
        <f t="shared" si="4"/>
        <v>144067.09430200007</v>
      </c>
      <c r="AQ15" s="85"/>
      <c r="AR15" s="125"/>
      <c r="AS15" s="126"/>
      <c r="AT15" s="126"/>
      <c r="AU15" s="127"/>
      <c r="AV15" s="128"/>
      <c r="AW15" s="128"/>
      <c r="AX15" s="129"/>
      <c r="AY15" s="129"/>
      <c r="AZ15" s="129"/>
      <c r="BA15" s="129"/>
      <c r="BB15" s="129"/>
      <c r="BC15" s="129"/>
      <c r="BD15" s="129"/>
      <c r="BE15" s="465"/>
      <c r="BF15" s="130" t="s">
        <v>47</v>
      </c>
      <c r="BG15" s="131"/>
      <c r="BH15" s="132" t="s">
        <v>48</v>
      </c>
    </row>
    <row r="16" spans="1:63" s="74" customFormat="1" ht="18" customHeight="1" x14ac:dyDescent="0.25">
      <c r="A16" s="133"/>
      <c r="B16" s="370" t="s">
        <v>49</v>
      </c>
      <c r="C16" s="370"/>
      <c r="D16" s="134"/>
      <c r="E16" s="359">
        <v>0.1</v>
      </c>
      <c r="F16" s="135">
        <f t="shared" ref="F16:R25" si="6">IF(COUNTA($E16),F$11-(F$11*$E16),0)</f>
        <v>5850000</v>
      </c>
      <c r="G16" s="135">
        <f t="shared" si="6"/>
        <v>6300000</v>
      </c>
      <c r="H16" s="135">
        <f t="shared" si="6"/>
        <v>6660000</v>
      </c>
      <c r="I16" s="135">
        <f t="shared" si="6"/>
        <v>8280000</v>
      </c>
      <c r="J16" s="135">
        <f t="shared" si="6"/>
        <v>9990000</v>
      </c>
      <c r="K16" s="135">
        <f t="shared" si="6"/>
        <v>12420000</v>
      </c>
      <c r="L16" s="135">
        <f t="shared" si="6"/>
        <v>13230000</v>
      </c>
      <c r="M16" s="135">
        <f t="shared" si="6"/>
        <v>16560000</v>
      </c>
      <c r="N16" s="135">
        <f t="shared" si="6"/>
        <v>18000000</v>
      </c>
      <c r="O16" s="135">
        <f t="shared" si="6"/>
        <v>18630000</v>
      </c>
      <c r="P16" s="135">
        <f t="shared" si="6"/>
        <v>18180000</v>
      </c>
      <c r="Q16" s="135">
        <f t="shared" si="6"/>
        <v>23940000</v>
      </c>
      <c r="R16" s="135">
        <f t="shared" si="6"/>
        <v>50490000</v>
      </c>
      <c r="S16" s="79"/>
      <c r="T16" s="136" t="s">
        <v>50</v>
      </c>
      <c r="U16" s="78" t="s">
        <v>4</v>
      </c>
      <c r="V16" s="137">
        <f>B9</f>
        <v>2024</v>
      </c>
      <c r="W16" s="137"/>
      <c r="X16" s="472">
        <f>SUM(Y16:Y30)</f>
        <v>0.37</v>
      </c>
      <c r="Y16" s="138">
        <v>0</v>
      </c>
      <c r="Z16" s="474">
        <v>0.46162285105548589</v>
      </c>
      <c r="AA16" s="474">
        <v>0.3406359921110953</v>
      </c>
      <c r="AB16" s="474"/>
      <c r="AC16" s="139">
        <f t="shared" ref="AC16:AC26" si="7">$AC$15*Y16</f>
        <v>0</v>
      </c>
      <c r="AD16" s="140">
        <f t="shared" ref="AD16:AD26" si="8">$AD$15*Y16</f>
        <v>0</v>
      </c>
      <c r="AE16" s="140">
        <f t="shared" ref="AE16:AE26" si="9">$AE$15*Y16</f>
        <v>0</v>
      </c>
      <c r="AF16" s="140">
        <f t="shared" ref="AF16:AF26" si="10">$AF$15*Y16</f>
        <v>0</v>
      </c>
      <c r="AG16" s="140">
        <f t="shared" ref="AG16:AG26" si="11">$AG$15*Y16</f>
        <v>0</v>
      </c>
      <c r="AH16" s="140">
        <f t="shared" ref="AH16:AH26" si="12">$AH$15*Y16</f>
        <v>0</v>
      </c>
      <c r="AI16" s="140">
        <f t="shared" ref="AI16:AI26" si="13">$AI$15*Y16</f>
        <v>0</v>
      </c>
      <c r="AJ16" s="140">
        <f t="shared" ref="AJ16:AJ26" si="14">$AJ$15*Y16</f>
        <v>0</v>
      </c>
      <c r="AK16" s="140">
        <f t="shared" ref="AK16:AK26" si="15">$AK$15*Y16</f>
        <v>0</v>
      </c>
      <c r="AL16" s="140">
        <f t="shared" ref="AL16:AL26" si="16">$AL$15*Y16</f>
        <v>0</v>
      </c>
      <c r="AM16" s="140">
        <f>$AM$15*Y16</f>
        <v>0</v>
      </c>
      <c r="AN16" s="140">
        <f t="shared" ref="AN16:AN26" si="17">$AN$15*Y16</f>
        <v>0</v>
      </c>
      <c r="AO16" s="140">
        <f t="shared" ref="AO16:AO26" si="18">$AO$15*Y16</f>
        <v>0</v>
      </c>
      <c r="AP16" s="141">
        <f t="shared" si="4"/>
        <v>0</v>
      </c>
      <c r="AQ16" s="142"/>
      <c r="AR16" s="143">
        <f t="shared" ref="AR16:AR26" si="19">IF(AC16=0,0,((F16*AC16)-($Y$4*$Y$5*AC16)-Y$7*AC16)/1.21)</f>
        <v>0</v>
      </c>
      <c r="AS16" s="144"/>
      <c r="AT16" s="144">
        <f t="shared" ref="AT16:AT26" si="20">IF(AE16=0,0,((H16*AE16)-($Y$4*$Y$5*AE16)-AA$7*AE16)/1.21)</f>
        <v>0</v>
      </c>
      <c r="AU16" s="144">
        <f t="shared" ref="AU16:AU26" si="21">IF(AF16=0,0,((I16*AF16)-($Y$4*$Y$5*AF16)-AB$7*AF16)/1.21)</f>
        <v>0</v>
      </c>
      <c r="AV16" s="144">
        <f t="shared" ref="AV16:AV26" si="22">IF(AG16=0,0,((J16*AG16)-($Y$4*$Y$5*AG16)-AC$7*AG16)/1.21)</f>
        <v>0</v>
      </c>
      <c r="AW16" s="144">
        <f t="shared" ref="AW16:AW26" si="23">IF(AH16=0,0,((K16*AH16)-($Y$4*$Y$5*AH16)-AD$7*AH16)/1.21)</f>
        <v>0</v>
      </c>
      <c r="AX16" s="144">
        <f t="shared" ref="AX16:AX26" si="24">IF(AI16=0,0,((L16*AI16)-($Y$4*$Y$5*AI16)-AE$7*AI16)/1.21)</f>
        <v>0</v>
      </c>
      <c r="AY16" s="144">
        <f t="shared" ref="AY16:AY26" si="25">IF(AJ16=0,0,((M16*AJ16)-($Y$4*$Y$5*AJ16)-AF$7*AJ16)/1.21)</f>
        <v>0</v>
      </c>
      <c r="AZ16" s="144">
        <f>IF(AK16=0,0,((O16*AK16)-($Z$4*$Z$5*AK16)-AD7*AK16)/1.21)</f>
        <v>0</v>
      </c>
      <c r="BA16" s="144">
        <f t="shared" ref="BA16:BA26" si="26">IF(AL16=0,0,((N16*AL16)-($Y$4*$Y$5*AL16)-AH$7*AL16)/1.21)</f>
        <v>0</v>
      </c>
      <c r="BB16" s="144">
        <f t="shared" ref="BB16:BB26" si="27">IF(AM16=0,0,((P16*AM16)-($Y$4*$Y$5*AM16)-AI$7*AM16)/1.21)</f>
        <v>0</v>
      </c>
      <c r="BC16" s="144">
        <f t="shared" ref="BC16:BC26" si="28">IF(AN16=0,0,((Q16*AN16)-($Y$4*$Y$5*AN16)-AJ$7*AN16)/1.21)</f>
        <v>0</v>
      </c>
      <c r="BD16" s="144">
        <f t="shared" ref="BD16:BD26" si="29">IF(AO16=0,0,((R16*AO16)-($Y$4*$Y$5*AO16)-AK$7*AO16)/1.21)</f>
        <v>0</v>
      </c>
      <c r="BE16" s="145">
        <f t="shared" ref="BE16:BE26" si="30">SUM(AR16:BD16)</f>
        <v>0</v>
      </c>
      <c r="BF16" s="477">
        <f>BK20</f>
        <v>0</v>
      </c>
      <c r="BG16" s="460" t="s">
        <v>51</v>
      </c>
      <c r="BH16" s="466">
        <v>100286064118</v>
      </c>
      <c r="BI16" s="470">
        <f>SUM(BE16:BE30)</f>
        <v>138044359923.80087</v>
      </c>
      <c r="BJ16" s="146" t="s">
        <v>52</v>
      </c>
      <c r="BK16" s="147"/>
    </row>
    <row r="17" spans="1:66" s="74" customFormat="1" x14ac:dyDescent="0.25">
      <c r="A17" s="133"/>
      <c r="B17" s="370" t="s">
        <v>53</v>
      </c>
      <c r="C17" s="370"/>
      <c r="D17" s="148"/>
      <c r="E17" s="359">
        <v>0.15</v>
      </c>
      <c r="F17" s="135">
        <f t="shared" si="6"/>
        <v>5525000</v>
      </c>
      <c r="G17" s="135">
        <f t="shared" si="6"/>
        <v>5950000</v>
      </c>
      <c r="H17" s="135">
        <f t="shared" si="6"/>
        <v>6290000</v>
      </c>
      <c r="I17" s="135">
        <f t="shared" si="6"/>
        <v>7820000</v>
      </c>
      <c r="J17" s="135">
        <f t="shared" si="6"/>
        <v>9435000</v>
      </c>
      <c r="K17" s="135">
        <f t="shared" si="6"/>
        <v>11730000</v>
      </c>
      <c r="L17" s="135">
        <f t="shared" si="6"/>
        <v>12495000</v>
      </c>
      <c r="M17" s="135">
        <f t="shared" si="6"/>
        <v>15640000</v>
      </c>
      <c r="N17" s="135">
        <f t="shared" si="6"/>
        <v>17000000</v>
      </c>
      <c r="O17" s="135">
        <f t="shared" si="6"/>
        <v>17595000</v>
      </c>
      <c r="P17" s="135">
        <f t="shared" si="6"/>
        <v>17170000</v>
      </c>
      <c r="Q17" s="135">
        <f t="shared" si="6"/>
        <v>22610000</v>
      </c>
      <c r="R17" s="135">
        <f t="shared" si="6"/>
        <v>47685000</v>
      </c>
      <c r="S17" s="79"/>
      <c r="T17" s="149" t="s">
        <v>54</v>
      </c>
      <c r="U17" s="150" t="s">
        <v>4</v>
      </c>
      <c r="V17" s="151">
        <v>144067.09430200001</v>
      </c>
      <c r="W17" s="151"/>
      <c r="X17" s="473"/>
      <c r="Y17" s="152">
        <v>0</v>
      </c>
      <c r="Z17" s="475"/>
      <c r="AA17" s="475"/>
      <c r="AB17" s="475"/>
      <c r="AC17" s="154">
        <f t="shared" si="7"/>
        <v>0</v>
      </c>
      <c r="AD17" s="155">
        <f t="shared" si="8"/>
        <v>0</v>
      </c>
      <c r="AE17" s="155">
        <f t="shared" si="9"/>
        <v>0</v>
      </c>
      <c r="AF17" s="155">
        <f t="shared" si="10"/>
        <v>0</v>
      </c>
      <c r="AG17" s="155">
        <f t="shared" si="11"/>
        <v>0</v>
      </c>
      <c r="AH17" s="155">
        <f t="shared" si="12"/>
        <v>0</v>
      </c>
      <c r="AI17" s="155">
        <f t="shared" si="13"/>
        <v>0</v>
      </c>
      <c r="AJ17" s="155">
        <f t="shared" si="14"/>
        <v>0</v>
      </c>
      <c r="AK17" s="155">
        <f t="shared" si="15"/>
        <v>0</v>
      </c>
      <c r="AL17" s="155">
        <f t="shared" si="16"/>
        <v>0</v>
      </c>
      <c r="AM17" s="155">
        <f>$AM$15*Y17</f>
        <v>0</v>
      </c>
      <c r="AN17" s="155">
        <f t="shared" si="17"/>
        <v>0</v>
      </c>
      <c r="AO17" s="155">
        <f t="shared" si="18"/>
        <v>0</v>
      </c>
      <c r="AP17" s="156">
        <f t="shared" si="4"/>
        <v>0</v>
      </c>
      <c r="AQ17" s="142"/>
      <c r="AR17" s="143">
        <f t="shared" si="19"/>
        <v>0</v>
      </c>
      <c r="AS17" s="144"/>
      <c r="AT17" s="144">
        <f t="shared" si="20"/>
        <v>0</v>
      </c>
      <c r="AU17" s="144">
        <f t="shared" si="21"/>
        <v>0</v>
      </c>
      <c r="AV17" s="144">
        <f t="shared" si="22"/>
        <v>0</v>
      </c>
      <c r="AW17" s="144">
        <f t="shared" si="23"/>
        <v>0</v>
      </c>
      <c r="AX17" s="144">
        <f t="shared" si="24"/>
        <v>0</v>
      </c>
      <c r="AY17" s="144">
        <f t="shared" si="25"/>
        <v>0</v>
      </c>
      <c r="AZ17" s="144">
        <f>IF(AK17=0,0,((O17*AK17)-($Z$4*$Z$5*AK17)-AD8*AK17)/1.21)</f>
        <v>0</v>
      </c>
      <c r="BA17" s="144">
        <f t="shared" si="26"/>
        <v>0</v>
      </c>
      <c r="BB17" s="144">
        <f t="shared" si="27"/>
        <v>0</v>
      </c>
      <c r="BC17" s="144">
        <f t="shared" si="28"/>
        <v>0</v>
      </c>
      <c r="BD17" s="144">
        <f t="shared" si="29"/>
        <v>0</v>
      </c>
      <c r="BE17" s="145">
        <f t="shared" si="30"/>
        <v>0</v>
      </c>
      <c r="BF17" s="478"/>
      <c r="BG17" s="461"/>
      <c r="BH17" s="467"/>
      <c r="BI17" s="471"/>
      <c r="BJ17" s="146" t="s">
        <v>55</v>
      </c>
      <c r="BK17" s="157"/>
    </row>
    <row r="18" spans="1:66" s="74" customFormat="1" x14ac:dyDescent="0.25">
      <c r="A18" s="133"/>
      <c r="B18" s="370" t="s">
        <v>56</v>
      </c>
      <c r="C18" s="370"/>
      <c r="D18" s="148"/>
      <c r="E18" s="359">
        <v>0.2</v>
      </c>
      <c r="F18" s="135">
        <f t="shared" si="6"/>
        <v>5200000</v>
      </c>
      <c r="G18" s="135">
        <f t="shared" si="6"/>
        <v>5600000</v>
      </c>
      <c r="H18" s="135">
        <f t="shared" si="6"/>
        <v>5920000</v>
      </c>
      <c r="I18" s="135">
        <f t="shared" si="6"/>
        <v>7360000</v>
      </c>
      <c r="J18" s="135">
        <f t="shared" si="6"/>
        <v>8880000</v>
      </c>
      <c r="K18" s="135">
        <f t="shared" si="6"/>
        <v>11040000</v>
      </c>
      <c r="L18" s="135">
        <f t="shared" si="6"/>
        <v>11760000</v>
      </c>
      <c r="M18" s="135">
        <f t="shared" si="6"/>
        <v>14720000</v>
      </c>
      <c r="N18" s="135">
        <f t="shared" si="6"/>
        <v>16000000</v>
      </c>
      <c r="O18" s="135">
        <f t="shared" si="6"/>
        <v>16560000</v>
      </c>
      <c r="P18" s="135">
        <f t="shared" si="6"/>
        <v>16160000</v>
      </c>
      <c r="Q18" s="135">
        <f t="shared" si="6"/>
        <v>21280000</v>
      </c>
      <c r="R18" s="135">
        <f t="shared" si="6"/>
        <v>44880000</v>
      </c>
      <c r="S18" s="79"/>
      <c r="T18" s="149" t="s">
        <v>57</v>
      </c>
      <c r="U18" s="150" t="s">
        <v>4</v>
      </c>
      <c r="V18" s="151">
        <v>187612086006.39368</v>
      </c>
      <c r="W18" s="151"/>
      <c r="X18" s="473"/>
      <c r="Y18" s="152">
        <v>0</v>
      </c>
      <c r="Z18" s="475"/>
      <c r="AA18" s="475"/>
      <c r="AB18" s="475"/>
      <c r="AC18" s="154">
        <f t="shared" si="7"/>
        <v>0</v>
      </c>
      <c r="AD18" s="155">
        <f t="shared" si="8"/>
        <v>0</v>
      </c>
      <c r="AE18" s="155">
        <f t="shared" si="9"/>
        <v>0</v>
      </c>
      <c r="AF18" s="155">
        <f t="shared" si="10"/>
        <v>0</v>
      </c>
      <c r="AG18" s="155">
        <f t="shared" si="11"/>
        <v>0</v>
      </c>
      <c r="AH18" s="155">
        <f t="shared" si="12"/>
        <v>0</v>
      </c>
      <c r="AI18" s="155">
        <f t="shared" si="13"/>
        <v>0</v>
      </c>
      <c r="AJ18" s="155">
        <f t="shared" si="14"/>
        <v>0</v>
      </c>
      <c r="AK18" s="155">
        <f t="shared" si="15"/>
        <v>0</v>
      </c>
      <c r="AL18" s="155">
        <f t="shared" si="16"/>
        <v>0</v>
      </c>
      <c r="AM18" s="155">
        <f>$AM$15*Y18</f>
        <v>0</v>
      </c>
      <c r="AN18" s="155">
        <f t="shared" si="17"/>
        <v>0</v>
      </c>
      <c r="AO18" s="155">
        <f t="shared" si="18"/>
        <v>0</v>
      </c>
      <c r="AP18" s="156">
        <f t="shared" si="4"/>
        <v>0</v>
      </c>
      <c r="AQ18" s="142"/>
      <c r="AR18" s="143">
        <f t="shared" si="19"/>
        <v>0</v>
      </c>
      <c r="AS18" s="144"/>
      <c r="AT18" s="144">
        <f t="shared" si="20"/>
        <v>0</v>
      </c>
      <c r="AU18" s="144">
        <f t="shared" si="21"/>
        <v>0</v>
      </c>
      <c r="AV18" s="144">
        <f t="shared" si="22"/>
        <v>0</v>
      </c>
      <c r="AW18" s="144">
        <f t="shared" si="23"/>
        <v>0</v>
      </c>
      <c r="AX18" s="144">
        <f t="shared" si="24"/>
        <v>0</v>
      </c>
      <c r="AY18" s="144">
        <f t="shared" si="25"/>
        <v>0</v>
      </c>
      <c r="AZ18" s="144">
        <f>IF(AK18=0,0,((O18*AK18)-($Z$4*$Z$5*AK18)-AD9*AK18)/1.21)</f>
        <v>0</v>
      </c>
      <c r="BA18" s="144">
        <f t="shared" si="26"/>
        <v>0</v>
      </c>
      <c r="BB18" s="144">
        <f t="shared" si="27"/>
        <v>0</v>
      </c>
      <c r="BC18" s="144">
        <f t="shared" si="28"/>
        <v>0</v>
      </c>
      <c r="BD18" s="144">
        <f t="shared" si="29"/>
        <v>0</v>
      </c>
      <c r="BE18" s="145">
        <f t="shared" si="30"/>
        <v>0</v>
      </c>
      <c r="BF18" s="478"/>
      <c r="BG18" s="461"/>
      <c r="BH18" s="467"/>
      <c r="BI18" s="471"/>
      <c r="BJ18" s="146" t="s">
        <v>58</v>
      </c>
      <c r="BK18" s="147"/>
    </row>
    <row r="19" spans="1:66" s="74" customFormat="1" x14ac:dyDescent="0.25">
      <c r="A19" s="133"/>
      <c r="B19" s="370" t="s">
        <v>59</v>
      </c>
      <c r="C19" s="370"/>
      <c r="D19" s="148"/>
      <c r="E19" s="359">
        <v>0.25</v>
      </c>
      <c r="F19" s="135">
        <f t="shared" si="6"/>
        <v>4875000</v>
      </c>
      <c r="G19" s="135">
        <f t="shared" si="6"/>
        <v>5250000</v>
      </c>
      <c r="H19" s="135">
        <f t="shared" si="6"/>
        <v>5550000</v>
      </c>
      <c r="I19" s="135">
        <f t="shared" si="6"/>
        <v>6900000</v>
      </c>
      <c r="J19" s="135">
        <f t="shared" si="6"/>
        <v>8325000</v>
      </c>
      <c r="K19" s="135">
        <f t="shared" si="6"/>
        <v>10350000</v>
      </c>
      <c r="L19" s="135">
        <f t="shared" si="6"/>
        <v>11025000</v>
      </c>
      <c r="M19" s="135">
        <f t="shared" si="6"/>
        <v>13800000</v>
      </c>
      <c r="N19" s="135">
        <f t="shared" si="6"/>
        <v>15000000</v>
      </c>
      <c r="O19" s="135">
        <f t="shared" si="6"/>
        <v>15525000</v>
      </c>
      <c r="P19" s="135">
        <f t="shared" si="6"/>
        <v>15150000</v>
      </c>
      <c r="Q19" s="135">
        <f t="shared" si="6"/>
        <v>19950000</v>
      </c>
      <c r="R19" s="135">
        <f t="shared" si="6"/>
        <v>42075000</v>
      </c>
      <c r="S19" s="79"/>
      <c r="T19" s="149" t="s">
        <v>60</v>
      </c>
      <c r="U19" s="150" t="s">
        <v>4</v>
      </c>
      <c r="V19" s="151">
        <f>V18/V17</f>
        <v>1302254.9452764881</v>
      </c>
      <c r="W19" s="151"/>
      <c r="X19" s="473"/>
      <c r="Y19" s="152">
        <v>0</v>
      </c>
      <c r="Z19" s="475"/>
      <c r="AA19" s="475"/>
      <c r="AB19" s="475"/>
      <c r="AC19" s="154">
        <f t="shared" si="7"/>
        <v>0</v>
      </c>
      <c r="AD19" s="155">
        <f t="shared" si="8"/>
        <v>0</v>
      </c>
      <c r="AE19" s="155">
        <f t="shared" si="9"/>
        <v>0</v>
      </c>
      <c r="AF19" s="155">
        <f t="shared" si="10"/>
        <v>0</v>
      </c>
      <c r="AG19" s="155">
        <f t="shared" si="11"/>
        <v>0</v>
      </c>
      <c r="AH19" s="155">
        <f t="shared" si="12"/>
        <v>0</v>
      </c>
      <c r="AI19" s="155">
        <f t="shared" si="13"/>
        <v>0</v>
      </c>
      <c r="AJ19" s="155">
        <f t="shared" si="14"/>
        <v>0</v>
      </c>
      <c r="AK19" s="155">
        <f t="shared" si="15"/>
        <v>0</v>
      </c>
      <c r="AL19" s="155">
        <f t="shared" si="16"/>
        <v>0</v>
      </c>
      <c r="AM19" s="155">
        <f>$AM$15*Y19+7.5</f>
        <v>7.5</v>
      </c>
      <c r="AN19" s="155">
        <f t="shared" si="17"/>
        <v>0</v>
      </c>
      <c r="AO19" s="155">
        <f t="shared" si="18"/>
        <v>0</v>
      </c>
      <c r="AP19" s="156">
        <f t="shared" si="4"/>
        <v>7.5</v>
      </c>
      <c r="AQ19" s="142"/>
      <c r="AR19" s="143">
        <f t="shared" si="19"/>
        <v>0</v>
      </c>
      <c r="AS19" s="144"/>
      <c r="AT19" s="144">
        <f t="shared" si="20"/>
        <v>0</v>
      </c>
      <c r="AU19" s="144">
        <f t="shared" si="21"/>
        <v>0</v>
      </c>
      <c r="AV19" s="144">
        <f t="shared" si="22"/>
        <v>0</v>
      </c>
      <c r="AW19" s="144">
        <f t="shared" si="23"/>
        <v>0</v>
      </c>
      <c r="AX19" s="144">
        <f t="shared" si="24"/>
        <v>0</v>
      </c>
      <c r="AY19" s="144">
        <f t="shared" si="25"/>
        <v>0</v>
      </c>
      <c r="AZ19" s="144">
        <f>IF(AK19=0,0,((O19*AK19)-(Z4*Z5*AK19)-AD7*AK19)/1.21)</f>
        <v>0</v>
      </c>
      <c r="BA19" s="144">
        <f t="shared" si="26"/>
        <v>0</v>
      </c>
      <c r="BB19" s="144">
        <f t="shared" si="27"/>
        <v>93904958.677685946</v>
      </c>
      <c r="BC19" s="144">
        <f t="shared" si="28"/>
        <v>0</v>
      </c>
      <c r="BD19" s="144">
        <f t="shared" si="29"/>
        <v>0</v>
      </c>
      <c r="BE19" s="145">
        <f t="shared" si="30"/>
        <v>93904958.677685946</v>
      </c>
      <c r="BF19" s="478"/>
      <c r="BG19" s="461"/>
      <c r="BH19" s="467"/>
      <c r="BI19" s="471"/>
      <c r="BJ19" s="146" t="s">
        <v>61</v>
      </c>
      <c r="BK19" s="157"/>
      <c r="BL19" s="187">
        <v>0.32</v>
      </c>
    </row>
    <row r="20" spans="1:66" s="74" customFormat="1" ht="18" x14ac:dyDescent="0.25">
      <c r="A20" s="133"/>
      <c r="B20" s="370" t="s">
        <v>62</v>
      </c>
      <c r="C20" s="370"/>
      <c r="D20" s="148"/>
      <c r="E20" s="359">
        <v>0.3</v>
      </c>
      <c r="F20" s="135">
        <f t="shared" si="6"/>
        <v>4550000</v>
      </c>
      <c r="G20" s="135">
        <f t="shared" si="6"/>
        <v>4900000</v>
      </c>
      <c r="H20" s="135">
        <f t="shared" si="6"/>
        <v>5180000</v>
      </c>
      <c r="I20" s="135">
        <f t="shared" si="6"/>
        <v>6440000</v>
      </c>
      <c r="J20" s="135">
        <f t="shared" si="6"/>
        <v>7770000</v>
      </c>
      <c r="K20" s="135">
        <f t="shared" si="6"/>
        <v>9660000</v>
      </c>
      <c r="L20" s="135">
        <f t="shared" si="6"/>
        <v>10290000</v>
      </c>
      <c r="M20" s="135">
        <f t="shared" si="6"/>
        <v>12880000</v>
      </c>
      <c r="N20" s="135">
        <f t="shared" si="6"/>
        <v>14000000</v>
      </c>
      <c r="O20" s="135">
        <f t="shared" si="6"/>
        <v>14490000</v>
      </c>
      <c r="P20" s="135">
        <f t="shared" si="6"/>
        <v>14140000</v>
      </c>
      <c r="Q20" s="135">
        <f t="shared" si="6"/>
        <v>18620000</v>
      </c>
      <c r="R20" s="135">
        <f t="shared" si="6"/>
        <v>39270000</v>
      </c>
      <c r="S20" s="79"/>
      <c r="T20" s="136"/>
      <c r="U20" s="78"/>
      <c r="V20" s="137"/>
      <c r="W20" s="137"/>
      <c r="X20" s="473"/>
      <c r="Y20" s="152">
        <v>0</v>
      </c>
      <c r="Z20" s="475"/>
      <c r="AA20" s="475"/>
      <c r="AB20" s="475"/>
      <c r="AC20" s="154">
        <f t="shared" si="7"/>
        <v>0</v>
      </c>
      <c r="AD20" s="155">
        <f t="shared" si="8"/>
        <v>0</v>
      </c>
      <c r="AE20" s="155">
        <f t="shared" si="9"/>
        <v>0</v>
      </c>
      <c r="AF20" s="155">
        <f t="shared" si="10"/>
        <v>0</v>
      </c>
      <c r="AG20" s="155">
        <f t="shared" si="11"/>
        <v>0</v>
      </c>
      <c r="AH20" s="155">
        <f t="shared" si="12"/>
        <v>0</v>
      </c>
      <c r="AI20" s="155">
        <f t="shared" si="13"/>
        <v>0</v>
      </c>
      <c r="AJ20" s="155">
        <f t="shared" si="14"/>
        <v>0</v>
      </c>
      <c r="AK20" s="155">
        <f t="shared" si="15"/>
        <v>0</v>
      </c>
      <c r="AL20" s="155">
        <f t="shared" si="16"/>
        <v>0</v>
      </c>
      <c r="AM20" s="155">
        <v>0</v>
      </c>
      <c r="AN20" s="155">
        <f t="shared" si="17"/>
        <v>0</v>
      </c>
      <c r="AO20" s="155">
        <f t="shared" si="18"/>
        <v>0</v>
      </c>
      <c r="AP20" s="156">
        <f t="shared" si="4"/>
        <v>0</v>
      </c>
      <c r="AQ20" s="142"/>
      <c r="AR20" s="143">
        <f t="shared" si="19"/>
        <v>0</v>
      </c>
      <c r="AS20" s="144">
        <f t="shared" ref="AS20:AS26" si="31">IF(AD20=0,0,((G20*AD20)-($Y$4*$Y$5*AD20)-Z$7*AD20)/1.21)</f>
        <v>0</v>
      </c>
      <c r="AT20" s="144">
        <f t="shared" si="20"/>
        <v>0</v>
      </c>
      <c r="AU20" s="144">
        <f t="shared" si="21"/>
        <v>0</v>
      </c>
      <c r="AV20" s="144">
        <f t="shared" si="22"/>
        <v>0</v>
      </c>
      <c r="AW20" s="144">
        <f t="shared" si="23"/>
        <v>0</v>
      </c>
      <c r="AX20" s="144">
        <f t="shared" si="24"/>
        <v>0</v>
      </c>
      <c r="AY20" s="144">
        <f t="shared" si="25"/>
        <v>0</v>
      </c>
      <c r="AZ20" s="144">
        <f>IF(AK20=0,0,((O20*AK20)-($Z$4*$Z$5*AK20)-AD11*AK20)/1.21)</f>
        <v>0</v>
      </c>
      <c r="BA20" s="144">
        <f t="shared" si="26"/>
        <v>0</v>
      </c>
      <c r="BB20" s="144">
        <f t="shared" si="27"/>
        <v>0</v>
      </c>
      <c r="BC20" s="144">
        <f t="shared" si="28"/>
        <v>0</v>
      </c>
      <c r="BD20" s="144">
        <f t="shared" si="29"/>
        <v>0</v>
      </c>
      <c r="BE20" s="145">
        <f t="shared" si="30"/>
        <v>0</v>
      </c>
      <c r="BF20" s="478"/>
      <c r="BG20" s="461"/>
      <c r="BH20" s="467"/>
      <c r="BI20" s="471"/>
      <c r="BJ20" s="146" t="s">
        <v>63</v>
      </c>
      <c r="BK20" s="157"/>
    </row>
    <row r="21" spans="1:66" s="74" customFormat="1" x14ac:dyDescent="0.25">
      <c r="A21" s="133"/>
      <c r="B21" s="370" t="s">
        <v>64</v>
      </c>
      <c r="C21" s="370"/>
      <c r="D21" s="148"/>
      <c r="E21" s="359">
        <v>0.4</v>
      </c>
      <c r="F21" s="135">
        <f t="shared" si="6"/>
        <v>3900000</v>
      </c>
      <c r="G21" s="135">
        <f t="shared" si="6"/>
        <v>4200000</v>
      </c>
      <c r="H21" s="135">
        <f t="shared" si="6"/>
        <v>4440000</v>
      </c>
      <c r="I21" s="135">
        <f t="shared" si="6"/>
        <v>5520000</v>
      </c>
      <c r="J21" s="135">
        <f t="shared" si="6"/>
        <v>6660000</v>
      </c>
      <c r="K21" s="135">
        <f t="shared" si="6"/>
        <v>8280000</v>
      </c>
      <c r="L21" s="135">
        <f t="shared" si="6"/>
        <v>8820000</v>
      </c>
      <c r="M21" s="135">
        <f t="shared" si="6"/>
        <v>11040000</v>
      </c>
      <c r="N21" s="135">
        <f t="shared" si="6"/>
        <v>12000000</v>
      </c>
      <c r="O21" s="135">
        <f t="shared" si="6"/>
        <v>12420000</v>
      </c>
      <c r="P21" s="135">
        <f t="shared" si="6"/>
        <v>12120000</v>
      </c>
      <c r="Q21" s="135">
        <f t="shared" si="6"/>
        <v>15960000</v>
      </c>
      <c r="R21" s="135">
        <f t="shared" si="6"/>
        <v>33660000</v>
      </c>
      <c r="S21" s="79"/>
      <c r="T21" s="79" t="s">
        <v>65</v>
      </c>
      <c r="U21" s="79"/>
      <c r="V21" s="79"/>
      <c r="W21" s="79"/>
      <c r="X21" s="473"/>
      <c r="Y21" s="152">
        <v>0</v>
      </c>
      <c r="Z21" s="475"/>
      <c r="AA21" s="475"/>
      <c r="AB21" s="475"/>
      <c r="AC21" s="154">
        <f t="shared" si="7"/>
        <v>0</v>
      </c>
      <c r="AD21" s="155">
        <f t="shared" si="8"/>
        <v>0</v>
      </c>
      <c r="AE21" s="155">
        <f t="shared" si="9"/>
        <v>0</v>
      </c>
      <c r="AF21" s="155">
        <f t="shared" si="10"/>
        <v>0</v>
      </c>
      <c r="AG21" s="155">
        <f t="shared" si="11"/>
        <v>0</v>
      </c>
      <c r="AH21" s="155">
        <f t="shared" si="12"/>
        <v>0</v>
      </c>
      <c r="AI21" s="155">
        <f t="shared" si="13"/>
        <v>0</v>
      </c>
      <c r="AJ21" s="155">
        <f t="shared" si="14"/>
        <v>0</v>
      </c>
      <c r="AK21" s="155">
        <f t="shared" si="15"/>
        <v>0</v>
      </c>
      <c r="AL21" s="155">
        <f t="shared" si="16"/>
        <v>0</v>
      </c>
      <c r="AM21" s="155">
        <f t="shared" ref="AM21:AM26" si="32">$AM$15*Y21</f>
        <v>0</v>
      </c>
      <c r="AN21" s="155">
        <f t="shared" si="17"/>
        <v>0</v>
      </c>
      <c r="AO21" s="155">
        <f t="shared" si="18"/>
        <v>0</v>
      </c>
      <c r="AP21" s="156">
        <f t="shared" si="4"/>
        <v>0</v>
      </c>
      <c r="AQ21" s="142"/>
      <c r="AR21" s="143">
        <f t="shared" si="19"/>
        <v>0</v>
      </c>
      <c r="AS21" s="144">
        <f t="shared" si="31"/>
        <v>0</v>
      </c>
      <c r="AT21" s="144">
        <f t="shared" si="20"/>
        <v>0</v>
      </c>
      <c r="AU21" s="144">
        <f t="shared" si="21"/>
        <v>0</v>
      </c>
      <c r="AV21" s="144">
        <f t="shared" si="22"/>
        <v>0</v>
      </c>
      <c r="AW21" s="144">
        <f t="shared" si="23"/>
        <v>0</v>
      </c>
      <c r="AX21" s="144">
        <f t="shared" si="24"/>
        <v>0</v>
      </c>
      <c r="AY21" s="144">
        <f t="shared" si="25"/>
        <v>0</v>
      </c>
      <c r="AZ21" s="144">
        <f t="shared" ref="AZ21:AZ26" si="33">IF(AK21=0,0,((O21*AK21)-($Z$4*$Z$5*AK21)-AD14*AK21)/1.21)</f>
        <v>0</v>
      </c>
      <c r="BA21" s="144">
        <f t="shared" si="26"/>
        <v>0</v>
      </c>
      <c r="BB21" s="144">
        <f t="shared" si="27"/>
        <v>0</v>
      </c>
      <c r="BC21" s="144">
        <f t="shared" si="28"/>
        <v>0</v>
      </c>
      <c r="BD21" s="144">
        <f t="shared" si="29"/>
        <v>0</v>
      </c>
      <c r="BE21" s="145">
        <f t="shared" si="30"/>
        <v>0</v>
      </c>
      <c r="BF21" s="478"/>
      <c r="BG21" s="461"/>
      <c r="BH21" s="467"/>
      <c r="BI21" s="471"/>
    </row>
    <row r="22" spans="1:66" s="74" customFormat="1" x14ac:dyDescent="0.25">
      <c r="B22" s="370" t="s">
        <v>66</v>
      </c>
      <c r="C22" s="370"/>
      <c r="D22" s="148"/>
      <c r="E22" s="359">
        <v>0.42499999999999999</v>
      </c>
      <c r="F22" s="135">
        <f t="shared" si="6"/>
        <v>3737500</v>
      </c>
      <c r="G22" s="135">
        <f t="shared" si="6"/>
        <v>4025000</v>
      </c>
      <c r="H22" s="135">
        <f t="shared" si="6"/>
        <v>4255000</v>
      </c>
      <c r="I22" s="135">
        <f t="shared" si="6"/>
        <v>5290000</v>
      </c>
      <c r="J22" s="135">
        <f t="shared" si="6"/>
        <v>6382500</v>
      </c>
      <c r="K22" s="135">
        <f t="shared" si="6"/>
        <v>7935000</v>
      </c>
      <c r="L22" s="135">
        <f t="shared" si="6"/>
        <v>8452500</v>
      </c>
      <c r="M22" s="135">
        <f t="shared" si="6"/>
        <v>10580000</v>
      </c>
      <c r="N22" s="135">
        <f t="shared" si="6"/>
        <v>11500000</v>
      </c>
      <c r="O22" s="135">
        <f t="shared" si="6"/>
        <v>11902500</v>
      </c>
      <c r="P22" s="135">
        <f t="shared" si="6"/>
        <v>11615000</v>
      </c>
      <c r="Q22" s="135">
        <f t="shared" si="6"/>
        <v>15295000</v>
      </c>
      <c r="R22" s="135">
        <f t="shared" si="6"/>
        <v>32257500</v>
      </c>
      <c r="S22" s="79"/>
      <c r="T22" s="149" t="s">
        <v>54</v>
      </c>
      <c r="U22" s="150" t="s">
        <v>4</v>
      </c>
      <c r="V22" s="158">
        <f>SUM(AC15:AO15)</f>
        <v>144067.09430200007</v>
      </c>
      <c r="W22" s="158"/>
      <c r="X22" s="473"/>
      <c r="Y22" s="152">
        <v>0</v>
      </c>
      <c r="Z22" s="475"/>
      <c r="AA22" s="475"/>
      <c r="AB22" s="475"/>
      <c r="AC22" s="154">
        <f t="shared" si="7"/>
        <v>0</v>
      </c>
      <c r="AD22" s="155">
        <f t="shared" si="8"/>
        <v>0</v>
      </c>
      <c r="AE22" s="155">
        <f t="shared" si="9"/>
        <v>0</v>
      </c>
      <c r="AF22" s="155">
        <f t="shared" si="10"/>
        <v>0</v>
      </c>
      <c r="AG22" s="155">
        <f t="shared" si="11"/>
        <v>0</v>
      </c>
      <c r="AH22" s="155">
        <f t="shared" si="12"/>
        <v>0</v>
      </c>
      <c r="AI22" s="155">
        <f t="shared" si="13"/>
        <v>0</v>
      </c>
      <c r="AJ22" s="155">
        <f t="shared" si="14"/>
        <v>0</v>
      </c>
      <c r="AK22" s="155">
        <f t="shared" si="15"/>
        <v>0</v>
      </c>
      <c r="AL22" s="155">
        <f t="shared" si="16"/>
        <v>0</v>
      </c>
      <c r="AM22" s="155">
        <f t="shared" si="32"/>
        <v>0</v>
      </c>
      <c r="AN22" s="155">
        <f t="shared" si="17"/>
        <v>0</v>
      </c>
      <c r="AO22" s="155">
        <f t="shared" si="18"/>
        <v>0</v>
      </c>
      <c r="AP22" s="156">
        <f t="shared" si="4"/>
        <v>0</v>
      </c>
      <c r="AQ22" s="142"/>
      <c r="AR22" s="143">
        <f t="shared" si="19"/>
        <v>0</v>
      </c>
      <c r="AS22" s="144">
        <f t="shared" si="31"/>
        <v>0</v>
      </c>
      <c r="AT22" s="144">
        <f t="shared" si="20"/>
        <v>0</v>
      </c>
      <c r="AU22" s="144">
        <f t="shared" si="21"/>
        <v>0</v>
      </c>
      <c r="AV22" s="144">
        <f t="shared" si="22"/>
        <v>0</v>
      </c>
      <c r="AW22" s="144">
        <f t="shared" si="23"/>
        <v>0</v>
      </c>
      <c r="AX22" s="144">
        <f t="shared" si="24"/>
        <v>0</v>
      </c>
      <c r="AY22" s="144">
        <f t="shared" si="25"/>
        <v>0</v>
      </c>
      <c r="AZ22" s="144">
        <f t="shared" si="33"/>
        <v>0</v>
      </c>
      <c r="BA22" s="144">
        <f t="shared" si="26"/>
        <v>0</v>
      </c>
      <c r="BB22" s="144">
        <f t="shared" si="27"/>
        <v>0</v>
      </c>
      <c r="BC22" s="144">
        <f t="shared" si="28"/>
        <v>0</v>
      </c>
      <c r="BD22" s="144">
        <f t="shared" si="29"/>
        <v>0</v>
      </c>
      <c r="BE22" s="145">
        <f t="shared" si="30"/>
        <v>0</v>
      </c>
      <c r="BF22" s="478"/>
      <c r="BG22" s="461"/>
      <c r="BH22" s="467"/>
      <c r="BI22" s="471"/>
      <c r="BL22" s="74">
        <v>2248212</v>
      </c>
      <c r="BM22" s="364">
        <f>F22-BL22</f>
        <v>1489288</v>
      </c>
      <c r="BN22" s="74">
        <f>BM22/F22</f>
        <v>0.39847170568561874</v>
      </c>
    </row>
    <row r="23" spans="1:66" s="74" customFormat="1" x14ac:dyDescent="0.25">
      <c r="B23" s="370" t="s">
        <v>67</v>
      </c>
      <c r="C23" s="370"/>
      <c r="D23" s="148"/>
      <c r="E23" s="359">
        <v>0.45</v>
      </c>
      <c r="F23" s="135">
        <f>IF(COUNTA($E23),F$11-(F$11*$E23),0)</f>
        <v>3575000</v>
      </c>
      <c r="G23" s="135">
        <f t="shared" si="6"/>
        <v>3850000</v>
      </c>
      <c r="H23" s="135">
        <f t="shared" si="6"/>
        <v>4070000</v>
      </c>
      <c r="I23" s="135">
        <f t="shared" si="6"/>
        <v>5060000</v>
      </c>
      <c r="J23" s="135">
        <f t="shared" si="6"/>
        <v>6105000</v>
      </c>
      <c r="K23" s="135">
        <f t="shared" si="6"/>
        <v>7590000</v>
      </c>
      <c r="L23" s="135">
        <f t="shared" si="6"/>
        <v>8085000</v>
      </c>
      <c r="M23" s="135">
        <f t="shared" si="6"/>
        <v>10120000</v>
      </c>
      <c r="N23" s="135">
        <f t="shared" si="6"/>
        <v>11000000</v>
      </c>
      <c r="O23" s="135">
        <f t="shared" si="6"/>
        <v>11385000</v>
      </c>
      <c r="P23" s="135">
        <f t="shared" si="6"/>
        <v>11110000</v>
      </c>
      <c r="Q23" s="135">
        <f t="shared" si="6"/>
        <v>14630000</v>
      </c>
      <c r="R23" s="135">
        <f t="shared" si="6"/>
        <v>30855000</v>
      </c>
      <c r="S23" s="79"/>
      <c r="T23" s="149" t="s">
        <v>57</v>
      </c>
      <c r="U23" s="150" t="s">
        <v>4</v>
      </c>
      <c r="V23" s="158" t="e">
        <f>SUM(BE16:BE86)</f>
        <v>#REF!</v>
      </c>
      <c r="W23" s="158"/>
      <c r="X23" s="473"/>
      <c r="Y23" s="152">
        <v>0</v>
      </c>
      <c r="Z23" s="475"/>
      <c r="AA23" s="475"/>
      <c r="AB23" s="475"/>
      <c r="AC23" s="154">
        <f t="shared" si="7"/>
        <v>0</v>
      </c>
      <c r="AD23" s="155">
        <f t="shared" si="8"/>
        <v>0</v>
      </c>
      <c r="AE23" s="155">
        <f t="shared" si="9"/>
        <v>0</v>
      </c>
      <c r="AF23" s="155">
        <f t="shared" si="10"/>
        <v>0</v>
      </c>
      <c r="AG23" s="155">
        <f t="shared" si="11"/>
        <v>0</v>
      </c>
      <c r="AH23" s="155">
        <f t="shared" si="12"/>
        <v>0</v>
      </c>
      <c r="AI23" s="155">
        <f t="shared" si="13"/>
        <v>0</v>
      </c>
      <c r="AJ23" s="155">
        <f t="shared" si="14"/>
        <v>0</v>
      </c>
      <c r="AK23" s="155">
        <f t="shared" si="15"/>
        <v>0</v>
      </c>
      <c r="AL23" s="155">
        <f t="shared" si="16"/>
        <v>0</v>
      </c>
      <c r="AM23" s="155">
        <f t="shared" si="32"/>
        <v>0</v>
      </c>
      <c r="AN23" s="155">
        <f t="shared" si="17"/>
        <v>0</v>
      </c>
      <c r="AO23" s="155">
        <f t="shared" si="18"/>
        <v>0</v>
      </c>
      <c r="AP23" s="156">
        <f t="shared" si="4"/>
        <v>0</v>
      </c>
      <c r="AQ23" s="142"/>
      <c r="AR23" s="143">
        <f t="shared" si="19"/>
        <v>0</v>
      </c>
      <c r="AS23" s="144">
        <f t="shared" si="31"/>
        <v>0</v>
      </c>
      <c r="AT23" s="144">
        <f t="shared" si="20"/>
        <v>0</v>
      </c>
      <c r="AU23" s="144">
        <f t="shared" si="21"/>
        <v>0</v>
      </c>
      <c r="AV23" s="144">
        <f t="shared" si="22"/>
        <v>0</v>
      </c>
      <c r="AW23" s="144">
        <f t="shared" si="23"/>
        <v>0</v>
      </c>
      <c r="AX23" s="144">
        <f t="shared" si="24"/>
        <v>0</v>
      </c>
      <c r="AY23" s="144">
        <f t="shared" si="25"/>
        <v>0</v>
      </c>
      <c r="AZ23" s="144">
        <f t="shared" si="33"/>
        <v>0</v>
      </c>
      <c r="BA23" s="144">
        <f t="shared" si="26"/>
        <v>0</v>
      </c>
      <c r="BB23" s="144">
        <f t="shared" si="27"/>
        <v>0</v>
      </c>
      <c r="BC23" s="144">
        <f t="shared" si="28"/>
        <v>0</v>
      </c>
      <c r="BD23" s="144">
        <f t="shared" si="29"/>
        <v>0</v>
      </c>
      <c r="BE23" s="145">
        <f t="shared" si="30"/>
        <v>0</v>
      </c>
      <c r="BF23" s="478"/>
      <c r="BG23" s="461"/>
      <c r="BH23" s="467"/>
      <c r="BI23" s="471"/>
      <c r="BL23" s="364">
        <f>F22 - (F22*BL19)</f>
        <v>2541500</v>
      </c>
      <c r="BM23" s="364">
        <f>BL23-(BL23*15%)</f>
        <v>2160275</v>
      </c>
      <c r="BN23" s="74">
        <v>2070000</v>
      </c>
    </row>
    <row r="24" spans="1:66" s="74" customFormat="1" x14ac:dyDescent="0.25">
      <c r="B24" s="370" t="s">
        <v>68</v>
      </c>
      <c r="C24" s="370"/>
      <c r="D24" s="148"/>
      <c r="E24" s="359">
        <v>0.47499999999999998</v>
      </c>
      <c r="F24" s="135">
        <f t="shared" ref="F24:F25" si="34">IF(COUNTA($E24),F$11-(F$11*$E24),0)</f>
        <v>3412500</v>
      </c>
      <c r="G24" s="135">
        <f t="shared" si="6"/>
        <v>3675000</v>
      </c>
      <c r="H24" s="135">
        <f t="shared" si="6"/>
        <v>3885000</v>
      </c>
      <c r="I24" s="135">
        <f t="shared" si="6"/>
        <v>4830000</v>
      </c>
      <c r="J24" s="135">
        <f t="shared" si="6"/>
        <v>5827500</v>
      </c>
      <c r="K24" s="135">
        <f t="shared" si="6"/>
        <v>7245000</v>
      </c>
      <c r="L24" s="135">
        <f t="shared" si="6"/>
        <v>7717500</v>
      </c>
      <c r="M24" s="135">
        <f t="shared" si="6"/>
        <v>9660000</v>
      </c>
      <c r="N24" s="135">
        <f t="shared" si="6"/>
        <v>10500000</v>
      </c>
      <c r="O24" s="135">
        <f t="shared" si="6"/>
        <v>10867500</v>
      </c>
      <c r="P24" s="135">
        <f t="shared" si="6"/>
        <v>10605000</v>
      </c>
      <c r="Q24" s="135">
        <f t="shared" si="6"/>
        <v>13965000</v>
      </c>
      <c r="R24" s="135">
        <f t="shared" si="6"/>
        <v>29452500</v>
      </c>
      <c r="S24" s="79"/>
      <c r="T24" s="149" t="s">
        <v>60</v>
      </c>
      <c r="U24" s="150" t="s">
        <v>4</v>
      </c>
      <c r="V24" s="158" t="e">
        <f>V23/V22</f>
        <v>#REF!</v>
      </c>
      <c r="W24" s="158"/>
      <c r="X24" s="473"/>
      <c r="Y24" s="152">
        <v>0</v>
      </c>
      <c r="Z24" s="475"/>
      <c r="AA24" s="475"/>
      <c r="AB24" s="475"/>
      <c r="AC24" s="154">
        <f t="shared" si="7"/>
        <v>0</v>
      </c>
      <c r="AD24" s="155">
        <f t="shared" si="8"/>
        <v>0</v>
      </c>
      <c r="AE24" s="155">
        <f t="shared" si="9"/>
        <v>0</v>
      </c>
      <c r="AF24" s="155">
        <f t="shared" si="10"/>
        <v>0</v>
      </c>
      <c r="AG24" s="155">
        <f t="shared" si="11"/>
        <v>0</v>
      </c>
      <c r="AH24" s="155">
        <f t="shared" si="12"/>
        <v>0</v>
      </c>
      <c r="AI24" s="155">
        <f t="shared" si="13"/>
        <v>0</v>
      </c>
      <c r="AJ24" s="155">
        <f t="shared" si="14"/>
        <v>0</v>
      </c>
      <c r="AK24" s="155">
        <f t="shared" si="15"/>
        <v>0</v>
      </c>
      <c r="AL24" s="155">
        <f t="shared" si="16"/>
        <v>0</v>
      </c>
      <c r="AM24" s="155">
        <f t="shared" si="32"/>
        <v>0</v>
      </c>
      <c r="AN24" s="155">
        <f t="shared" si="17"/>
        <v>0</v>
      </c>
      <c r="AO24" s="155">
        <f t="shared" si="18"/>
        <v>0</v>
      </c>
      <c r="AP24" s="156">
        <f t="shared" si="4"/>
        <v>0</v>
      </c>
      <c r="AQ24" s="142"/>
      <c r="AR24" s="143">
        <f t="shared" si="19"/>
        <v>0</v>
      </c>
      <c r="AS24" s="144">
        <f t="shared" si="31"/>
        <v>0</v>
      </c>
      <c r="AT24" s="144">
        <f t="shared" si="20"/>
        <v>0</v>
      </c>
      <c r="AU24" s="144">
        <f t="shared" si="21"/>
        <v>0</v>
      </c>
      <c r="AV24" s="144">
        <f t="shared" si="22"/>
        <v>0</v>
      </c>
      <c r="AW24" s="144">
        <f t="shared" si="23"/>
        <v>0</v>
      </c>
      <c r="AX24" s="144">
        <f t="shared" si="24"/>
        <v>0</v>
      </c>
      <c r="AY24" s="144">
        <f t="shared" si="25"/>
        <v>0</v>
      </c>
      <c r="AZ24" s="144">
        <f t="shared" si="33"/>
        <v>0</v>
      </c>
      <c r="BA24" s="144">
        <f t="shared" si="26"/>
        <v>0</v>
      </c>
      <c r="BB24" s="144">
        <f t="shared" si="27"/>
        <v>0</v>
      </c>
      <c r="BC24" s="144">
        <f t="shared" si="28"/>
        <v>0</v>
      </c>
      <c r="BD24" s="144">
        <f t="shared" si="29"/>
        <v>0</v>
      </c>
      <c r="BE24" s="145">
        <f t="shared" si="30"/>
        <v>0</v>
      </c>
      <c r="BF24" s="478"/>
      <c r="BG24" s="461"/>
      <c r="BH24" s="467"/>
      <c r="BI24" s="471"/>
      <c r="BM24" s="364">
        <f>BL22-BM23</f>
        <v>87937</v>
      </c>
      <c r="BN24" s="364">
        <f>BN23-BM23</f>
        <v>-90275</v>
      </c>
    </row>
    <row r="25" spans="1:66" s="74" customFormat="1" x14ac:dyDescent="0.25">
      <c r="B25" s="370" t="s">
        <v>69</v>
      </c>
      <c r="C25" s="370"/>
      <c r="D25" s="148"/>
      <c r="E25" s="359">
        <v>0.5</v>
      </c>
      <c r="F25" s="135">
        <f t="shared" si="34"/>
        <v>3250000</v>
      </c>
      <c r="G25" s="135">
        <f t="shared" si="6"/>
        <v>3500000</v>
      </c>
      <c r="H25" s="135">
        <f t="shared" si="6"/>
        <v>3700000</v>
      </c>
      <c r="I25" s="135">
        <f t="shared" si="6"/>
        <v>4600000</v>
      </c>
      <c r="J25" s="135">
        <f t="shared" si="6"/>
        <v>5550000</v>
      </c>
      <c r="K25" s="135">
        <f t="shared" si="6"/>
        <v>6900000</v>
      </c>
      <c r="L25" s="135">
        <f t="shared" si="6"/>
        <v>7350000</v>
      </c>
      <c r="M25" s="135">
        <f t="shared" si="6"/>
        <v>9200000</v>
      </c>
      <c r="N25" s="135">
        <f t="shared" si="6"/>
        <v>10000000</v>
      </c>
      <c r="O25" s="135">
        <f t="shared" si="6"/>
        <v>10350000</v>
      </c>
      <c r="P25" s="135">
        <f t="shared" si="6"/>
        <v>10100000</v>
      </c>
      <c r="Q25" s="135">
        <f t="shared" si="6"/>
        <v>13300000</v>
      </c>
      <c r="R25" s="135">
        <f t="shared" si="6"/>
        <v>28050000</v>
      </c>
      <c r="S25" s="79"/>
      <c r="T25" s="149"/>
      <c r="U25" s="150"/>
      <c r="V25" s="158"/>
      <c r="W25" s="158"/>
      <c r="X25" s="473"/>
      <c r="Y25" s="152">
        <v>0</v>
      </c>
      <c r="Z25" s="475"/>
      <c r="AA25" s="475"/>
      <c r="AB25" s="475"/>
      <c r="AC25" s="154">
        <f t="shared" si="7"/>
        <v>0</v>
      </c>
      <c r="AD25" s="155">
        <f t="shared" si="8"/>
        <v>0</v>
      </c>
      <c r="AE25" s="155">
        <f t="shared" si="9"/>
        <v>0</v>
      </c>
      <c r="AF25" s="155">
        <f t="shared" si="10"/>
        <v>0</v>
      </c>
      <c r="AG25" s="155">
        <f t="shared" si="11"/>
        <v>0</v>
      </c>
      <c r="AH25" s="155">
        <f t="shared" si="12"/>
        <v>0</v>
      </c>
      <c r="AI25" s="155">
        <f t="shared" si="13"/>
        <v>0</v>
      </c>
      <c r="AJ25" s="155">
        <f t="shared" si="14"/>
        <v>0</v>
      </c>
      <c r="AK25" s="155">
        <f t="shared" si="15"/>
        <v>0</v>
      </c>
      <c r="AL25" s="155">
        <f t="shared" si="16"/>
        <v>0</v>
      </c>
      <c r="AM25" s="155">
        <f t="shared" si="32"/>
        <v>0</v>
      </c>
      <c r="AN25" s="155">
        <f t="shared" si="17"/>
        <v>0</v>
      </c>
      <c r="AO25" s="155">
        <f t="shared" si="18"/>
        <v>0</v>
      </c>
      <c r="AP25" s="156">
        <f t="shared" si="4"/>
        <v>0</v>
      </c>
      <c r="AQ25" s="142"/>
      <c r="AR25" s="143">
        <f t="shared" si="19"/>
        <v>0</v>
      </c>
      <c r="AS25" s="144">
        <f t="shared" si="31"/>
        <v>0</v>
      </c>
      <c r="AT25" s="144">
        <f t="shared" si="20"/>
        <v>0</v>
      </c>
      <c r="AU25" s="144">
        <f t="shared" si="21"/>
        <v>0</v>
      </c>
      <c r="AV25" s="144">
        <f t="shared" si="22"/>
        <v>0</v>
      </c>
      <c r="AW25" s="144">
        <f t="shared" si="23"/>
        <v>0</v>
      </c>
      <c r="AX25" s="144">
        <f t="shared" si="24"/>
        <v>0</v>
      </c>
      <c r="AY25" s="144">
        <f t="shared" si="25"/>
        <v>0</v>
      </c>
      <c r="AZ25" s="144">
        <f t="shared" si="33"/>
        <v>0</v>
      </c>
      <c r="BA25" s="144">
        <f t="shared" si="26"/>
        <v>0</v>
      </c>
      <c r="BB25" s="144">
        <f t="shared" si="27"/>
        <v>0</v>
      </c>
      <c r="BC25" s="144">
        <f t="shared" si="28"/>
        <v>0</v>
      </c>
      <c r="BD25" s="144">
        <f t="shared" si="29"/>
        <v>0</v>
      </c>
      <c r="BE25" s="145">
        <f t="shared" si="30"/>
        <v>0</v>
      </c>
      <c r="BF25" s="478"/>
      <c r="BG25" s="461"/>
      <c r="BH25" s="467"/>
      <c r="BI25" s="471"/>
    </row>
    <row r="26" spans="1:66" s="74" customFormat="1" hidden="1" x14ac:dyDescent="0.25">
      <c r="B26" s="159" t="s">
        <v>70</v>
      </c>
      <c r="C26" s="159"/>
      <c r="D26" s="160"/>
      <c r="E26" s="359"/>
      <c r="F26" s="161">
        <f>F28-(F28*5%)</f>
        <v>2309450</v>
      </c>
      <c r="G26" s="161">
        <f t="shared" ref="G26:R26" si="35">G28-(G28*5%)</f>
        <v>2487099.9999999995</v>
      </c>
      <c r="H26" s="161">
        <f t="shared" si="35"/>
        <v>2629219.9999999995</v>
      </c>
      <c r="I26" s="161">
        <f t="shared" si="35"/>
        <v>3268759.9999999995</v>
      </c>
      <c r="J26" s="161">
        <f t="shared" si="35"/>
        <v>3943829.9999999995</v>
      </c>
      <c r="K26" s="161">
        <f t="shared" si="35"/>
        <v>4903139.9999999991</v>
      </c>
      <c r="L26" s="161">
        <f t="shared" si="35"/>
        <v>5222909.9999999991</v>
      </c>
      <c r="M26" s="161">
        <f t="shared" si="35"/>
        <v>6537519.9999999991</v>
      </c>
      <c r="N26" s="161">
        <f t="shared" si="35"/>
        <v>7105999.9999999991</v>
      </c>
      <c r="O26" s="161">
        <f t="shared" si="35"/>
        <v>7354709.9999999991</v>
      </c>
      <c r="P26" s="161">
        <f t="shared" si="35"/>
        <v>11091819.999999998</v>
      </c>
      <c r="Q26" s="161">
        <f t="shared" si="35"/>
        <v>9450980</v>
      </c>
      <c r="R26" s="161">
        <f t="shared" si="35"/>
        <v>30804509.999999996</v>
      </c>
      <c r="S26" s="79"/>
      <c r="V26" s="162"/>
      <c r="W26" s="162"/>
      <c r="X26" s="473"/>
      <c r="Y26" s="152">
        <v>0</v>
      </c>
      <c r="Z26" s="475"/>
      <c r="AA26" s="475"/>
      <c r="AB26" s="475"/>
      <c r="AC26" s="154">
        <f t="shared" si="7"/>
        <v>0</v>
      </c>
      <c r="AD26" s="155">
        <f t="shared" si="8"/>
        <v>0</v>
      </c>
      <c r="AE26" s="155">
        <f t="shared" si="9"/>
        <v>0</v>
      </c>
      <c r="AF26" s="155">
        <f t="shared" si="10"/>
        <v>0</v>
      </c>
      <c r="AG26" s="155">
        <f t="shared" si="11"/>
        <v>0</v>
      </c>
      <c r="AH26" s="155">
        <f t="shared" si="12"/>
        <v>0</v>
      </c>
      <c r="AI26" s="155">
        <f t="shared" si="13"/>
        <v>0</v>
      </c>
      <c r="AJ26" s="155">
        <f t="shared" si="14"/>
        <v>0</v>
      </c>
      <c r="AK26" s="155">
        <f t="shared" si="15"/>
        <v>0</v>
      </c>
      <c r="AL26" s="155">
        <f t="shared" si="16"/>
        <v>0</v>
      </c>
      <c r="AM26" s="155">
        <f t="shared" si="32"/>
        <v>0</v>
      </c>
      <c r="AN26" s="155">
        <f t="shared" si="17"/>
        <v>0</v>
      </c>
      <c r="AO26" s="155">
        <f t="shared" si="18"/>
        <v>0</v>
      </c>
      <c r="AP26" s="156">
        <f t="shared" si="4"/>
        <v>0</v>
      </c>
      <c r="AQ26" s="142"/>
      <c r="AR26" s="143">
        <f t="shared" si="19"/>
        <v>0</v>
      </c>
      <c r="AS26" s="144">
        <f t="shared" si="31"/>
        <v>0</v>
      </c>
      <c r="AT26" s="144">
        <f t="shared" si="20"/>
        <v>0</v>
      </c>
      <c r="AU26" s="144">
        <f t="shared" si="21"/>
        <v>0</v>
      </c>
      <c r="AV26" s="144">
        <f t="shared" si="22"/>
        <v>0</v>
      </c>
      <c r="AW26" s="144">
        <f t="shared" si="23"/>
        <v>0</v>
      </c>
      <c r="AX26" s="144">
        <f t="shared" si="24"/>
        <v>0</v>
      </c>
      <c r="AY26" s="144">
        <f t="shared" si="25"/>
        <v>0</v>
      </c>
      <c r="AZ26" s="144">
        <f t="shared" si="33"/>
        <v>0</v>
      </c>
      <c r="BA26" s="144">
        <f t="shared" si="26"/>
        <v>0</v>
      </c>
      <c r="BB26" s="144">
        <f t="shared" si="27"/>
        <v>0</v>
      </c>
      <c r="BC26" s="144">
        <f t="shared" si="28"/>
        <v>0</v>
      </c>
      <c r="BD26" s="144">
        <f t="shared" si="29"/>
        <v>0</v>
      </c>
      <c r="BE26" s="145">
        <f t="shared" si="30"/>
        <v>0</v>
      </c>
      <c r="BF26" s="478"/>
      <c r="BG26" s="461"/>
      <c r="BH26" s="467"/>
      <c r="BI26" s="471"/>
    </row>
    <row r="27" spans="1:66" s="74" customFormat="1" x14ac:dyDescent="0.25">
      <c r="B27" s="159" t="s">
        <v>71</v>
      </c>
      <c r="C27" s="159"/>
      <c r="D27" s="160"/>
      <c r="E27" s="359"/>
      <c r="F27" s="161">
        <v>8</v>
      </c>
      <c r="G27" s="161">
        <f t="shared" ref="G27:O27" si="36">$F$27</f>
        <v>8</v>
      </c>
      <c r="H27" s="161">
        <f t="shared" si="36"/>
        <v>8</v>
      </c>
      <c r="I27" s="161">
        <f t="shared" si="36"/>
        <v>8</v>
      </c>
      <c r="J27" s="161">
        <f t="shared" si="36"/>
        <v>8</v>
      </c>
      <c r="K27" s="161">
        <f t="shared" si="36"/>
        <v>8</v>
      </c>
      <c r="L27" s="161">
        <f t="shared" si="36"/>
        <v>8</v>
      </c>
      <c r="M27" s="161">
        <f t="shared" si="36"/>
        <v>8</v>
      </c>
      <c r="N27" s="161">
        <f t="shared" si="36"/>
        <v>8</v>
      </c>
      <c r="O27" s="161">
        <f t="shared" si="36"/>
        <v>8</v>
      </c>
      <c r="P27" s="161">
        <v>2</v>
      </c>
      <c r="Q27" s="161">
        <f>$F$27</f>
        <v>8</v>
      </c>
      <c r="R27" s="161">
        <v>2</v>
      </c>
      <c r="S27" s="79"/>
      <c r="V27" s="162"/>
      <c r="W27" s="162"/>
      <c r="X27" s="473"/>
      <c r="Y27" s="152"/>
      <c r="Z27" s="475"/>
      <c r="AA27" s="475"/>
      <c r="AB27" s="475"/>
      <c r="AC27" s="154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42"/>
      <c r="AR27" s="143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5"/>
      <c r="BF27" s="478"/>
      <c r="BG27" s="461"/>
      <c r="BH27" s="467"/>
      <c r="BI27" s="471"/>
    </row>
    <row r="28" spans="1:66" s="74" customFormat="1" x14ac:dyDescent="0.25">
      <c r="B28" s="371" t="s">
        <v>72</v>
      </c>
      <c r="C28" s="348"/>
      <c r="D28" s="349"/>
      <c r="E28" s="359">
        <v>0.32</v>
      </c>
      <c r="F28" s="352">
        <f>CHOOSE(F$27, F$16, F$17, F$18, F$19, F$20, F$21, F$22, F$23,F$24,F$25) * (1 - $E28)</f>
        <v>2431000</v>
      </c>
      <c r="G28" s="352">
        <f t="shared" ref="G28:R28" si="37">CHOOSE(G$27, G$16, G$17, G$18, G$19, G$20, G$21, G$22, G$23,G$24,G$25) * (1 - $E28)</f>
        <v>2617999.9999999995</v>
      </c>
      <c r="H28" s="352">
        <f t="shared" si="37"/>
        <v>2767599.9999999995</v>
      </c>
      <c r="I28" s="352">
        <f t="shared" si="37"/>
        <v>3440799.9999999995</v>
      </c>
      <c r="J28" s="352">
        <f t="shared" si="37"/>
        <v>4151399.9999999995</v>
      </c>
      <c r="K28" s="352">
        <f t="shared" si="37"/>
        <v>5161199.9999999991</v>
      </c>
      <c r="L28" s="352">
        <f t="shared" si="37"/>
        <v>5497799.9999999991</v>
      </c>
      <c r="M28" s="352">
        <f t="shared" si="37"/>
        <v>6881599.9999999991</v>
      </c>
      <c r="N28" s="352">
        <f t="shared" si="37"/>
        <v>7479999.9999999991</v>
      </c>
      <c r="O28" s="352">
        <f t="shared" si="37"/>
        <v>7741799.9999999991</v>
      </c>
      <c r="P28" s="352">
        <f t="shared" si="37"/>
        <v>11675599.999999998</v>
      </c>
      <c r="Q28" s="352">
        <f t="shared" si="37"/>
        <v>9948400</v>
      </c>
      <c r="R28" s="352">
        <f t="shared" si="37"/>
        <v>32425799.999999996</v>
      </c>
      <c r="S28" s="79"/>
      <c r="T28" s="79" t="s">
        <v>73</v>
      </c>
      <c r="U28" s="79"/>
      <c r="V28" s="163"/>
      <c r="W28" s="163"/>
      <c r="X28" s="473"/>
      <c r="Y28" s="152">
        <v>0.19</v>
      </c>
      <c r="Z28" s="475"/>
      <c r="AA28" s="475"/>
      <c r="AB28" s="475"/>
      <c r="AC28" s="154">
        <f>$AC$15*Y28</f>
        <v>9854.1892502568007</v>
      </c>
      <c r="AD28" s="155">
        <f>$AD$15*Y28+472</f>
        <v>1840.6373958690003</v>
      </c>
      <c r="AE28" s="155">
        <f>$AE$15*Y28</f>
        <v>12673.582285746941</v>
      </c>
      <c r="AF28" s="155">
        <f>$AF$15*Y28+755.3</f>
        <v>2945.1198333904003</v>
      </c>
      <c r="AG28" s="155">
        <f>$AG$15*Y28+164.4</f>
        <v>438.1274791738</v>
      </c>
      <c r="AH28" s="155">
        <f>$AH$15*Y28+94.4</f>
        <v>368.1274791738</v>
      </c>
      <c r="AI28" s="155">
        <f>$AI$15*Y28+47.2</f>
        <v>184.0637395869</v>
      </c>
      <c r="AJ28" s="155">
        <f>$AJ$15*Y28+47.2</f>
        <v>184.0637395869</v>
      </c>
      <c r="AK28" s="155">
        <f>$AK$15*Y28+37.8</f>
        <v>147.29099166952</v>
      </c>
      <c r="AL28" s="155">
        <f>$AL$15*Y28+94.4</f>
        <v>368.1274791738</v>
      </c>
      <c r="AM28" s="155">
        <f>$AM$15*Y28+15+9.4</f>
        <v>51.772747917380002</v>
      </c>
      <c r="AN28" s="155">
        <f>$AN$15*Y28+9.4</f>
        <v>36.772747917380002</v>
      </c>
      <c r="AO28" s="155">
        <f>$AO$15*Y28+9.4</f>
        <v>36.772747917380002</v>
      </c>
      <c r="AP28" s="156">
        <f>SUM(AC28:AO28)</f>
        <v>29128.647917380007</v>
      </c>
      <c r="AQ28" s="142"/>
      <c r="AR28" s="143">
        <f>IF(AC28=0,0,((F28*AC28)-($Y$4*$Y$5*AC28)-Y$7*AC28)/1.21)-323320739.77</f>
        <v>19474641299.382301</v>
      </c>
      <c r="AS28" s="144">
        <f>IF(AD28=0,0,((G28*AD28)-($Y$4*$Y$5*AD28)-Z$7*AD28)/1.21)</f>
        <v>3982470001.9711094</v>
      </c>
      <c r="AT28" s="144">
        <f>IF(AE28=0,0,((H28*AE28)-($Y$4*$Y$5*AE28)-AA$7*AE28)/1.21)-323320737.77</f>
        <v>28664618381.265724</v>
      </c>
      <c r="AU28" s="144">
        <f>IF(AF28=0,0,((I28*AF28)-($Y$4*$Y$5*AF28)-AB$7*AF28)/1.21)-323320737.77</f>
        <v>8051529115.7256107</v>
      </c>
      <c r="AV28" s="144">
        <f t="shared" ref="AV28:AX30" si="38">IF(AG28=0,0,((J28*AG28)-($Y$4*$Y$5*AG28)-AC$7*AG28)/1.21)</f>
        <v>1503175551.2744737</v>
      </c>
      <c r="AW28" s="144">
        <f t="shared" si="38"/>
        <v>1570231029.3486085</v>
      </c>
      <c r="AX28" s="144">
        <f t="shared" si="38"/>
        <v>836318700.4139328</v>
      </c>
      <c r="AY28" s="144"/>
      <c r="AZ28" s="144">
        <f>IF(AK28=0,0,((O28*AK28)-($Z$4*$Z$5*AK28)-AD20*AK28)/1.21)</f>
        <v>881043586.36830723</v>
      </c>
      <c r="BA28" s="144">
        <f>IF(AL28=0,0,((N28*AL28)-($Y$4*$Y$5*AL28)-AH$7*AL28)/1.21)</f>
        <v>2275697143.9834905</v>
      </c>
      <c r="BB28" s="144">
        <f t="shared" ref="BB28:BC30" si="39">IF(AM28=0,0,((P28*AM28)-($Y$4*$Y$5*AM28)-AI$7*AM28)/1.21)</f>
        <v>499568508.74724126</v>
      </c>
      <c r="BC28" s="144">
        <f t="shared" si="39"/>
        <v>302338847.4225316</v>
      </c>
      <c r="BD28" s="144"/>
      <c r="BE28" s="145">
        <f>SUM(AR28:BD28)</f>
        <v>68041632165.903328</v>
      </c>
      <c r="BF28" s="478"/>
      <c r="BG28" s="461"/>
      <c r="BH28" s="467"/>
      <c r="BI28" s="471"/>
    </row>
    <row r="29" spans="1:66" s="74" customFormat="1" x14ac:dyDescent="0.25">
      <c r="B29" s="371" t="s">
        <v>74</v>
      </c>
      <c r="C29" s="348"/>
      <c r="D29" s="349"/>
      <c r="E29" s="359">
        <v>0.27</v>
      </c>
      <c r="F29" s="352">
        <f>CHOOSE(F$27, F$16, F$17, F$18, F$19, F$20, F$21, F$22, F$23, F$24, F$25) * (1 - $E29)</f>
        <v>2609750</v>
      </c>
      <c r="G29" s="352">
        <f t="shared" ref="G29:R30" si="40">CHOOSE(G$27, G$16, G$17, G$18, G$19, G$20, G$21, G$22, G$23, G$24, G$25) * (1 - $E29)</f>
        <v>2810500</v>
      </c>
      <c r="H29" s="352">
        <f t="shared" si="40"/>
        <v>2971100</v>
      </c>
      <c r="I29" s="352">
        <f t="shared" si="40"/>
        <v>3693800</v>
      </c>
      <c r="J29" s="352">
        <f t="shared" si="40"/>
        <v>4456650</v>
      </c>
      <c r="K29" s="352">
        <f t="shared" si="40"/>
        <v>5540700</v>
      </c>
      <c r="L29" s="352">
        <f t="shared" si="40"/>
        <v>5902050</v>
      </c>
      <c r="M29" s="352">
        <f t="shared" si="40"/>
        <v>7387600</v>
      </c>
      <c r="N29" s="352">
        <f t="shared" si="40"/>
        <v>8030000</v>
      </c>
      <c r="O29" s="352">
        <f t="shared" si="40"/>
        <v>8311050</v>
      </c>
      <c r="P29" s="352">
        <f t="shared" si="40"/>
        <v>12534100</v>
      </c>
      <c r="Q29" s="352">
        <f t="shared" si="40"/>
        <v>10679900</v>
      </c>
      <c r="R29" s="352">
        <f t="shared" si="40"/>
        <v>34810050</v>
      </c>
      <c r="S29" s="79"/>
      <c r="T29" s="149" t="s">
        <v>54</v>
      </c>
      <c r="U29" s="150" t="s">
        <v>4</v>
      </c>
      <c r="V29" s="164">
        <f>V22-V17</f>
        <v>0</v>
      </c>
      <c r="W29" s="164"/>
      <c r="X29" s="473"/>
      <c r="Y29" s="152">
        <v>0.09</v>
      </c>
      <c r="Z29" s="475"/>
      <c r="AA29" s="475"/>
      <c r="AB29" s="475"/>
      <c r="AC29" s="154">
        <f>$AC$15*Y29</f>
        <v>4667.7738553847994</v>
      </c>
      <c r="AD29" s="155">
        <f>$AD$15*Y29</f>
        <v>648.30192435900005</v>
      </c>
      <c r="AE29" s="155">
        <f>$AE$15*Y29</f>
        <v>6003.2758195643401</v>
      </c>
      <c r="AF29" s="155">
        <f>$AF$15*Y29+1215.4</f>
        <v>2252.6830789743999</v>
      </c>
      <c r="AG29" s="155">
        <f>$AG$15*Y29</f>
        <v>129.66038487180001</v>
      </c>
      <c r="AH29" s="155">
        <f>$AH$15*Y29+151.9</f>
        <v>281.56038487180001</v>
      </c>
      <c r="AI29" s="155">
        <f>$AI$15*Y29+76</f>
        <v>140.83019243590002</v>
      </c>
      <c r="AJ29" s="155">
        <f>$AJ$15*Y29+76</f>
        <v>140.83019243590002</v>
      </c>
      <c r="AK29" s="155">
        <f>$AK$15*Y29+60.8</f>
        <v>112.66415394872</v>
      </c>
      <c r="AL29" s="155">
        <f>$AL$15*Y29+151.9</f>
        <v>281.56038487180001</v>
      </c>
      <c r="AM29" s="155">
        <f>$AM$15*Y29+15+15.2</f>
        <v>43.166038487180003</v>
      </c>
      <c r="AN29" s="155">
        <f>$AN$15*Y29+15.2</f>
        <v>28.16603848718</v>
      </c>
      <c r="AO29" s="155">
        <f>$AO$15*Y29+15.2</f>
        <v>28.16603848718</v>
      </c>
      <c r="AP29" s="156">
        <f>SUM(AC29:AO29)</f>
        <v>14758.638487179996</v>
      </c>
      <c r="AQ29" s="142"/>
      <c r="AR29" s="143">
        <f>IF(AC29=0,0,((F29*AC29)-($Y$4*$Y$5*AC29)-Y$7*AC29)/1.21)-323320737.77+134166431</f>
        <v>9878385213.1394882</v>
      </c>
      <c r="AS29" s="144">
        <f>IF(AD29=0,0,((G29*AD29)-($Y$4*$Y$5*AD29)-Z$7*AD29)/1.21)-323320737.77</f>
        <v>1182507822.900223</v>
      </c>
      <c r="AT29" s="144">
        <f>IF(AE29=0,0,((H29*AE29)-($Y$4*$Y$5*AE29)-AA$7*AE29)/1.21)-323320737.77</f>
        <v>14417450160.99662</v>
      </c>
      <c r="AU29" s="144">
        <f>IF(AF29=0,0,((I29*AF29)-($Y$4*$Y$5*AF29)-AB$7*AF29)/1.21)-323320737.77</f>
        <v>6553506334.2263966</v>
      </c>
      <c r="AV29" s="144">
        <f t="shared" si="38"/>
        <v>477562772.09827065</v>
      </c>
      <c r="AW29" s="144">
        <f t="shared" si="38"/>
        <v>1289290598.7265968</v>
      </c>
      <c r="AX29" s="144">
        <f t="shared" si="38"/>
        <v>686931270.4680196</v>
      </c>
      <c r="AY29" s="144"/>
      <c r="AZ29" s="144">
        <f>IF(AK29=0,0,((O29*AK29)-($Z$4*$Z$5*AK29)-AD21*AK29)/1.21)</f>
        <v>726921225.69037557</v>
      </c>
      <c r="BA29" s="144">
        <f>IF(AL29=0,0,((N29*AL29)-($Y$4*$Y$5*AL29)-AH$7*AL29)/1.21)</f>
        <v>1868537099.6037638</v>
      </c>
      <c r="BB29" s="144">
        <f t="shared" si="39"/>
        <v>447146647.10922557</v>
      </c>
      <c r="BC29" s="144">
        <f t="shared" si="39"/>
        <v>248603697.88366419</v>
      </c>
      <c r="BD29" s="144"/>
      <c r="BE29" s="145">
        <f>SUM(AR29:BD29)</f>
        <v>37776842842.842644</v>
      </c>
      <c r="BF29" s="478"/>
      <c r="BG29" s="461"/>
      <c r="BH29" s="467"/>
      <c r="BI29" s="471"/>
    </row>
    <row r="30" spans="1:66" s="74" customFormat="1" x14ac:dyDescent="0.25">
      <c r="B30" s="350" t="s">
        <v>75</v>
      </c>
      <c r="C30" s="351"/>
      <c r="D30" s="351"/>
      <c r="E30" s="359">
        <v>0.35</v>
      </c>
      <c r="F30" s="352">
        <f>CHOOSE(F$27, F$16, F$17, F$18, F$19, F$20, F$21, F$22, F$23, F$24, F$25) * (1 - $E30)</f>
        <v>2323750</v>
      </c>
      <c r="G30" s="352">
        <f t="shared" si="40"/>
        <v>2502500</v>
      </c>
      <c r="H30" s="352">
        <f t="shared" si="40"/>
        <v>2645500</v>
      </c>
      <c r="I30" s="352">
        <f t="shared" si="40"/>
        <v>3289000</v>
      </c>
      <c r="J30" s="352">
        <f t="shared" si="40"/>
        <v>3968250</v>
      </c>
      <c r="K30" s="352">
        <f t="shared" si="40"/>
        <v>4933500</v>
      </c>
      <c r="L30" s="352">
        <f t="shared" si="40"/>
        <v>5255250</v>
      </c>
      <c r="M30" s="352">
        <f t="shared" si="40"/>
        <v>6578000</v>
      </c>
      <c r="N30" s="352">
        <f t="shared" si="40"/>
        <v>7150000</v>
      </c>
      <c r="O30" s="352">
        <f t="shared" si="40"/>
        <v>7400250</v>
      </c>
      <c r="P30" s="352">
        <f t="shared" si="40"/>
        <v>11160500</v>
      </c>
      <c r="Q30" s="352">
        <f t="shared" si="40"/>
        <v>9509500</v>
      </c>
      <c r="R30" s="352">
        <f t="shared" si="40"/>
        <v>30995250</v>
      </c>
      <c r="T30" s="149" t="s">
        <v>57</v>
      </c>
      <c r="U30" s="150" t="s">
        <v>4</v>
      </c>
      <c r="V30" s="164" t="e">
        <f>V23-V18</f>
        <v>#REF!</v>
      </c>
      <c r="W30" s="164"/>
      <c r="X30" s="473"/>
      <c r="Y30" s="152">
        <v>0.09</v>
      </c>
      <c r="Z30" s="475"/>
      <c r="AA30" s="475"/>
      <c r="AB30" s="475"/>
      <c r="AC30" s="154">
        <f>$AC$15*Y30</f>
        <v>4667.7738553847994</v>
      </c>
      <c r="AD30" s="155">
        <f>$AD$15*Y30+471.4</f>
        <v>1119.701924359</v>
      </c>
      <c r="AE30" s="155">
        <f>$AE$15*Y30</f>
        <v>6003.2758195643401</v>
      </c>
      <c r="AF30" s="155">
        <f>$AF$15*Y30+754.2</f>
        <v>1791.4830789744001</v>
      </c>
      <c r="AG30" s="155">
        <f>$AG$15*Y30+188.5</f>
        <v>318.16038487180003</v>
      </c>
      <c r="AH30" s="155">
        <f>$AH$15*Y30+94.3</f>
        <v>223.96038487179999</v>
      </c>
      <c r="AI30" s="155">
        <f>$AI$15*Y30+47.1</f>
        <v>111.93019243590001</v>
      </c>
      <c r="AJ30" s="155">
        <f>$AJ$15*Y30+47.1</f>
        <v>111.93019243590001</v>
      </c>
      <c r="AK30" s="155">
        <f>$AK$15*Y30+37.7</f>
        <v>89.564153948720005</v>
      </c>
      <c r="AL30" s="155">
        <f>$AL$15*Y30+94.3</f>
        <v>223.96038487179999</v>
      </c>
      <c r="AM30" s="155">
        <f>$AM$15*Y30+15+9.4</f>
        <v>37.366038487179999</v>
      </c>
      <c r="AN30" s="155">
        <f>$AN$15*Y30+9.4</f>
        <v>22.366038487179999</v>
      </c>
      <c r="AO30" s="155">
        <f>$AO$15*Y30+9.4</f>
        <v>22.366038487179999</v>
      </c>
      <c r="AP30" s="156">
        <f>SUM(AC30:AO30)</f>
        <v>14743.838487180003</v>
      </c>
      <c r="AR30" s="143">
        <f>IF(AC30=0,0,((F30*AC30)-($Y$4*$Y$5*AC30)-Y$7*AC30)/1.21)-323320737.77</f>
        <v>8640926779.9576263</v>
      </c>
      <c r="AS30" s="144">
        <f>IF(AD30=0,0,((G30*AD30)-($Y$4*$Y$5*AD30)-Z$7*AD30)/1.21)</f>
        <v>2315747161.7424774</v>
      </c>
      <c r="AT30" s="144">
        <f>IF(AE30=0,0,((H30*AE30)-($Y$4*$Y$5*AE30)-AA$7*AE30)/1.21)-323320737.77-323320737.77-323320737.77-323320737.77-323320737.77</f>
        <v>11508740262.106577</v>
      </c>
      <c r="AU30" s="144">
        <f>IF(AF30=0,0,((I30*AF30)-($Y$4*$Y$5*AF30)-AB$7*AF30)/1.21)</f>
        <v>4869576732.8485975</v>
      </c>
      <c r="AV30" s="144">
        <f t="shared" si="38"/>
        <v>1043421444.0227442</v>
      </c>
      <c r="AW30" s="144">
        <f t="shared" si="38"/>
        <v>913147569.22729349</v>
      </c>
      <c r="AX30" s="144">
        <f t="shared" si="38"/>
        <v>486133176.69319302</v>
      </c>
      <c r="AY30" s="144"/>
      <c r="AZ30" s="144">
        <f>IF(AK30=0,0,((O30*AK30)-($Z$4*$Z$5*AK30)-AD22*AK30)/1.21)</f>
        <v>510460162.53624821</v>
      </c>
      <c r="BA30" s="144">
        <f>IF(AL30=0,0,((N30*AL30)-($Y$4*$Y$5*AL30)-AH$7*AL30)/1.21)</f>
        <v>1323402274.2424545</v>
      </c>
      <c r="BB30" s="144">
        <f t="shared" si="39"/>
        <v>344647663.25303507</v>
      </c>
      <c r="BC30" s="144">
        <f t="shared" si="39"/>
        <v>175776729.74697372</v>
      </c>
      <c r="BD30" s="144"/>
      <c r="BE30" s="145">
        <f>SUM(AR30:BD30)</f>
        <v>32131979956.37722</v>
      </c>
      <c r="BF30" s="478"/>
      <c r="BG30" s="461"/>
      <c r="BH30" s="467"/>
      <c r="BI30" s="471"/>
      <c r="BJ30" s="165"/>
      <c r="BK30" s="166"/>
    </row>
    <row r="31" spans="1:66" s="167" customFormat="1" ht="14.25" x14ac:dyDescent="0.25">
      <c r="B31" s="168" t="s">
        <v>76</v>
      </c>
      <c r="E31" s="360"/>
      <c r="F31" s="169">
        <v>0.12</v>
      </c>
      <c r="G31" s="169">
        <v>0.12</v>
      </c>
      <c r="H31" s="169">
        <v>0.12</v>
      </c>
      <c r="I31" s="169">
        <v>0.12</v>
      </c>
      <c r="J31" s="169">
        <v>0.12</v>
      </c>
      <c r="K31" s="169">
        <v>7.0000000000000007E-2</v>
      </c>
      <c r="L31" s="169">
        <v>7.0000000000000007E-2</v>
      </c>
      <c r="M31" s="169">
        <v>7.0000000000000007E-2</v>
      </c>
      <c r="N31" s="169">
        <v>7.0000000000000007E-2</v>
      </c>
      <c r="O31" s="169">
        <v>7.0000000000000007E-2</v>
      </c>
      <c r="P31" s="169">
        <v>7.0000000000000007E-2</v>
      </c>
      <c r="Q31" s="169">
        <v>7.0000000000000007E-2</v>
      </c>
      <c r="R31" s="169">
        <v>7.0000000000000007E-2</v>
      </c>
      <c r="T31" s="170"/>
      <c r="U31" s="171"/>
      <c r="V31" s="172"/>
      <c r="W31" s="172"/>
      <c r="X31" s="173"/>
      <c r="Y31" s="174"/>
      <c r="Z31" s="173"/>
      <c r="AA31" s="173"/>
      <c r="AB31" s="475"/>
      <c r="AC31" s="175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7"/>
      <c r="AR31" s="175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8"/>
      <c r="BF31" s="179"/>
      <c r="BG31" s="180"/>
      <c r="BH31" s="181"/>
      <c r="BI31" s="179"/>
    </row>
    <row r="32" spans="1:66" s="74" customFormat="1" x14ac:dyDescent="0.25">
      <c r="B32" s="182" t="s">
        <v>77</v>
      </c>
      <c r="C32" s="183"/>
      <c r="D32" s="184"/>
      <c r="E32" s="359"/>
      <c r="F32" s="185">
        <f>CEILING(F28-(F28*F31),50000)</f>
        <v>2150000</v>
      </c>
      <c r="G32" s="185">
        <f t="shared" ref="G32:R32" si="41">CEILING(G28-(G28*G31),50000)</f>
        <v>2350000</v>
      </c>
      <c r="H32" s="185">
        <f t="shared" si="41"/>
        <v>2450000</v>
      </c>
      <c r="I32" s="185">
        <f t="shared" si="41"/>
        <v>3050000</v>
      </c>
      <c r="J32" s="185">
        <f t="shared" si="41"/>
        <v>3700000</v>
      </c>
      <c r="K32" s="185">
        <f t="shared" si="41"/>
        <v>4800000</v>
      </c>
      <c r="L32" s="185">
        <f t="shared" si="41"/>
        <v>5150000</v>
      </c>
      <c r="M32" s="185">
        <f t="shared" si="41"/>
        <v>6400000</v>
      </c>
      <c r="N32" s="185">
        <f t="shared" si="41"/>
        <v>7000000</v>
      </c>
      <c r="O32" s="185">
        <f>CEILING(O28-(O28*O31),50000)</f>
        <v>7200000</v>
      </c>
      <c r="P32" s="185">
        <f t="shared" si="41"/>
        <v>10900000</v>
      </c>
      <c r="Q32" s="185">
        <f t="shared" si="41"/>
        <v>9300000</v>
      </c>
      <c r="R32" s="185">
        <f t="shared" si="41"/>
        <v>30200000</v>
      </c>
      <c r="S32" s="79"/>
      <c r="X32" s="468">
        <f>SUM(Y32:Y40)</f>
        <v>3.0000000000000002E-2</v>
      </c>
      <c r="Y32" s="152">
        <v>0</v>
      </c>
      <c r="Z32" s="469">
        <v>3.4439868628486088E-2</v>
      </c>
      <c r="AA32" s="469">
        <v>8.1267917776467483E-2</v>
      </c>
      <c r="AB32" s="475"/>
      <c r="AC32" s="154">
        <f t="shared" ref="AC32:AC86" si="42">$AC$15*Y32</f>
        <v>0</v>
      </c>
      <c r="AD32" s="155">
        <f t="shared" ref="AD32:AD77" si="43">$AD$15*Y32</f>
        <v>0</v>
      </c>
      <c r="AE32" s="155">
        <f t="shared" ref="AE32:AE86" si="44">$AE$15*Y32</f>
        <v>0</v>
      </c>
      <c r="AF32" s="155">
        <f t="shared" ref="AF32:AF77" si="45">$AF$15*Y32</f>
        <v>0</v>
      </c>
      <c r="AG32" s="155">
        <f t="shared" ref="AG32:AG77" si="46">$AG$15*Y32</f>
        <v>0</v>
      </c>
      <c r="AH32" s="155">
        <f t="shared" ref="AH32:AH77" si="47">$AH$15*Y32</f>
        <v>0</v>
      </c>
      <c r="AI32" s="155">
        <f t="shared" ref="AI32:AI77" si="48">$AI$15*Y32</f>
        <v>0</v>
      </c>
      <c r="AJ32" s="155">
        <f t="shared" ref="AJ32:AJ77" si="49">$AJ$15*Y32</f>
        <v>0</v>
      </c>
      <c r="AK32" s="155">
        <f t="shared" ref="AK32:AK77" si="50">$AK$15*Y32</f>
        <v>0</v>
      </c>
      <c r="AL32" s="155">
        <f t="shared" ref="AL32:AL77" si="51">$AL$15*Y32</f>
        <v>0</v>
      </c>
      <c r="AM32" s="155">
        <f>$AM$15*Y32</f>
        <v>0</v>
      </c>
      <c r="AN32" s="155">
        <f t="shared" ref="AN32:AN77" si="52">$AN$15*Y32</f>
        <v>0</v>
      </c>
      <c r="AO32" s="155">
        <f t="shared" ref="AO32:AO77" si="53">$AO$15*Y32</f>
        <v>0</v>
      </c>
      <c r="AP32" s="156">
        <f t="shared" ref="AP32:AP87" si="54">SUM(AC32:AO32)</f>
        <v>0</v>
      </c>
      <c r="AQ32" s="142"/>
      <c r="AR32" s="143">
        <f t="shared" ref="AR32:AY32" si="55">IF(AC32=0,0,((F32*AC32)-($Y$4*$Y$5*AC32)-Y$7*AC32)/1.21)</f>
        <v>0</v>
      </c>
      <c r="AS32" s="144">
        <f t="shared" si="55"/>
        <v>0</v>
      </c>
      <c r="AT32" s="144">
        <f t="shared" si="55"/>
        <v>0</v>
      </c>
      <c r="AU32" s="144">
        <f t="shared" si="55"/>
        <v>0</v>
      </c>
      <c r="AV32" s="144">
        <f t="shared" si="55"/>
        <v>0</v>
      </c>
      <c r="AW32" s="144">
        <f t="shared" si="55"/>
        <v>0</v>
      </c>
      <c r="AX32" s="144">
        <f t="shared" si="55"/>
        <v>0</v>
      </c>
      <c r="AY32" s="144">
        <f t="shared" si="55"/>
        <v>0</v>
      </c>
      <c r="AZ32" s="144">
        <f>IF(AK32=0,0,((O32*AK32)-($Z$4*$Z$5*AK32)-AD28*AK32)/1.21)</f>
        <v>0</v>
      </c>
      <c r="BA32" s="144">
        <f>IF(AL32=0,0,((N32*AL32)-($Y$4*$Y$5*AL32)-AH$7*AL32)/1.21)</f>
        <v>0</v>
      </c>
      <c r="BB32" s="144">
        <f>IF(AM32=0,0,((P32*AM32)-($Y$4*$Y$5*AM32)-AI$7*AM32)/1.21)</f>
        <v>0</v>
      </c>
      <c r="BC32" s="144">
        <f>IF(AN32=0,0,((Q32*AN32)-($Y$4*$Y$5*AN32)-AJ$7*AN32)/1.21)</f>
        <v>0</v>
      </c>
      <c r="BD32" s="144">
        <f>IF(AO32=0,0,((R32*AO32)-($Y$4*$Y$5*AO32)-AK$7*AO32)/1.21)</f>
        <v>0</v>
      </c>
      <c r="BE32" s="145">
        <f t="shared" ref="BE32:BE85" si="56">SUM(AR32:BD32)</f>
        <v>0</v>
      </c>
      <c r="BF32" s="479">
        <f>SUM(BE32:BE40)</f>
        <v>9062353374.3116398</v>
      </c>
      <c r="BG32" s="482" t="s">
        <v>78</v>
      </c>
      <c r="BH32" s="485">
        <v>7481949530</v>
      </c>
      <c r="BI32" s="488">
        <f>BH32-BF32</f>
        <v>-1580403844.3116398</v>
      </c>
      <c r="BK32" s="186"/>
    </row>
    <row r="33" spans="2:61" s="74" customFormat="1" x14ac:dyDescent="0.25">
      <c r="B33" s="182" t="s">
        <v>79</v>
      </c>
      <c r="C33" s="183"/>
      <c r="D33" s="184"/>
      <c r="E33" s="359"/>
      <c r="F33" s="185">
        <f t="shared" ref="F33:R33" si="57">F32-50000</f>
        <v>2100000</v>
      </c>
      <c r="G33" s="185">
        <f t="shared" si="57"/>
        <v>2300000</v>
      </c>
      <c r="H33" s="185">
        <f t="shared" si="57"/>
        <v>2400000</v>
      </c>
      <c r="I33" s="185">
        <f t="shared" si="57"/>
        <v>3000000</v>
      </c>
      <c r="J33" s="185">
        <f t="shared" si="57"/>
        <v>3650000</v>
      </c>
      <c r="K33" s="185">
        <f t="shared" si="57"/>
        <v>4750000</v>
      </c>
      <c r="L33" s="185">
        <f t="shared" si="57"/>
        <v>5100000</v>
      </c>
      <c r="M33" s="185">
        <f t="shared" si="57"/>
        <v>6350000</v>
      </c>
      <c r="N33" s="185">
        <f t="shared" si="57"/>
        <v>6950000</v>
      </c>
      <c r="O33" s="185">
        <f t="shared" si="57"/>
        <v>7150000</v>
      </c>
      <c r="P33" s="185">
        <f t="shared" si="57"/>
        <v>10850000</v>
      </c>
      <c r="Q33" s="185">
        <f t="shared" si="57"/>
        <v>9250000</v>
      </c>
      <c r="R33" s="185">
        <f t="shared" si="57"/>
        <v>30150000</v>
      </c>
      <c r="S33" s="79"/>
      <c r="V33" s="187"/>
      <c r="W33" s="187"/>
      <c r="X33" s="468"/>
      <c r="Y33" s="152">
        <v>5.0000000000000001E-3</v>
      </c>
      <c r="Z33" s="469"/>
      <c r="AA33" s="469"/>
      <c r="AB33" s="475"/>
      <c r="AC33" s="154">
        <f t="shared" si="42"/>
        <v>259.32076974360001</v>
      </c>
      <c r="AD33" s="155">
        <f t="shared" si="43"/>
        <v>36.016773575500004</v>
      </c>
      <c r="AE33" s="155">
        <f t="shared" si="44"/>
        <v>333.51532330913005</v>
      </c>
      <c r="AF33" s="155">
        <f t="shared" si="45"/>
        <v>57.626837720800005</v>
      </c>
      <c r="AG33" s="155">
        <f t="shared" si="46"/>
        <v>7.2033547151000006</v>
      </c>
      <c r="AH33" s="155">
        <f t="shared" si="47"/>
        <v>7.2033547151000006</v>
      </c>
      <c r="AI33" s="155">
        <f t="shared" si="48"/>
        <v>3.6016773575500003</v>
      </c>
      <c r="AJ33" s="155">
        <f t="shared" si="49"/>
        <v>3.6016773575500003</v>
      </c>
      <c r="AK33" s="155">
        <f t="shared" si="50"/>
        <v>2.8813418860400004</v>
      </c>
      <c r="AL33" s="155">
        <f t="shared" si="51"/>
        <v>7.2033547151000006</v>
      </c>
      <c r="AM33" s="155"/>
      <c r="AN33" s="155">
        <f t="shared" si="52"/>
        <v>0.7203354715100001</v>
      </c>
      <c r="AO33" s="155">
        <f t="shared" si="53"/>
        <v>0.7203354715100001</v>
      </c>
      <c r="AP33" s="156">
        <f t="shared" si="54"/>
        <v>719.61513603848994</v>
      </c>
      <c r="AQ33" s="142"/>
      <c r="AR33" s="143">
        <f>IF(AC33=0,0,((F33*AC33)-($Y$4*$Y$5*AC33)-Y$7*AC33)/1.21)+303641628</f>
        <v>753702468.05087614</v>
      </c>
      <c r="AS33" s="144"/>
      <c r="AT33" s="144">
        <f>IF(AE33=0,0,((H33*AE33)-($Y$4*$Y$5*AE33)-AA$7*AE33)/1.21)+303641628</f>
        <v>965159624.64620841</v>
      </c>
      <c r="AU33" s="144"/>
      <c r="AV33" s="144">
        <f t="shared" ref="AV33:AV42" si="58">IF(AG33=0,0,((J33*AG33)-($Y$4*$Y$5*AG33)-AC$7*AG33)/1.21)</f>
        <v>21729127.859599173</v>
      </c>
      <c r="AW33" s="144"/>
      <c r="AX33" s="144"/>
      <c r="AY33" s="144"/>
      <c r="AZ33" s="144"/>
      <c r="BA33" s="144"/>
      <c r="BB33" s="144">
        <f t="shared" ref="BB33:BD61" si="59">IF(AM33=0,0,((P33*AM33)-($Y$4*$Y$5*AM33)-AI$7*AM33)/1.21)</f>
        <v>0</v>
      </c>
      <c r="BC33" s="144"/>
      <c r="BD33" s="144"/>
      <c r="BE33" s="145">
        <f t="shared" si="56"/>
        <v>1740591220.5566835</v>
      </c>
      <c r="BF33" s="480"/>
      <c r="BG33" s="483"/>
      <c r="BH33" s="486"/>
      <c r="BI33" s="489"/>
    </row>
    <row r="34" spans="2:61" s="74" customFormat="1" x14ac:dyDescent="0.25">
      <c r="B34" s="182" t="s">
        <v>80</v>
      </c>
      <c r="C34" s="183"/>
      <c r="D34" s="184"/>
      <c r="E34" s="359"/>
      <c r="F34" s="185">
        <f>F33-50000</f>
        <v>2050000</v>
      </c>
      <c r="G34" s="185">
        <f t="shared" ref="G34:R34" si="60">G33-50000</f>
        <v>2250000</v>
      </c>
      <c r="H34" s="185">
        <f t="shared" si="60"/>
        <v>2350000</v>
      </c>
      <c r="I34" s="185">
        <f t="shared" si="60"/>
        <v>2950000</v>
      </c>
      <c r="J34" s="185">
        <f t="shared" si="60"/>
        <v>3600000</v>
      </c>
      <c r="K34" s="185">
        <f t="shared" si="60"/>
        <v>4700000</v>
      </c>
      <c r="L34" s="185">
        <f t="shared" si="60"/>
        <v>5050000</v>
      </c>
      <c r="M34" s="185">
        <f t="shared" si="60"/>
        <v>6300000</v>
      </c>
      <c r="N34" s="185">
        <f t="shared" si="60"/>
        <v>6900000</v>
      </c>
      <c r="O34" s="185">
        <f>O33-50000</f>
        <v>7100000</v>
      </c>
      <c r="P34" s="185">
        <f t="shared" si="60"/>
        <v>10800000</v>
      </c>
      <c r="Q34" s="185">
        <f t="shared" si="60"/>
        <v>9200000</v>
      </c>
      <c r="R34" s="185">
        <f t="shared" si="60"/>
        <v>30100000</v>
      </c>
      <c r="S34" s="79"/>
      <c r="X34" s="468"/>
      <c r="Y34" s="152">
        <v>2.5000000000000001E-2</v>
      </c>
      <c r="Z34" s="469"/>
      <c r="AA34" s="469"/>
      <c r="AB34" s="475"/>
      <c r="AC34" s="154">
        <f t="shared" si="42"/>
        <v>1296.6038487180001</v>
      </c>
      <c r="AD34" s="155">
        <f t="shared" si="43"/>
        <v>180.08386787750004</v>
      </c>
      <c r="AE34" s="155">
        <f t="shared" si="44"/>
        <v>1667.5766165456503</v>
      </c>
      <c r="AF34" s="155">
        <f t="shared" si="45"/>
        <v>288.13418860400003</v>
      </c>
      <c r="AG34" s="155">
        <f t="shared" si="46"/>
        <v>36.016773575500004</v>
      </c>
      <c r="AH34" s="155">
        <f t="shared" si="47"/>
        <v>36.016773575500004</v>
      </c>
      <c r="AI34" s="155">
        <f t="shared" si="48"/>
        <v>18.008386787750002</v>
      </c>
      <c r="AJ34" s="155">
        <f t="shared" si="49"/>
        <v>18.008386787750002</v>
      </c>
      <c r="AK34" s="155">
        <f t="shared" si="50"/>
        <v>14.406709430200003</v>
      </c>
      <c r="AL34" s="155">
        <f t="shared" si="51"/>
        <v>36.016773575500004</v>
      </c>
      <c r="AM34" s="155">
        <f t="shared" ref="AM34:AM41" si="61">$AM$15*Y34</f>
        <v>3.6016773575500007</v>
      </c>
      <c r="AN34" s="155">
        <f t="shared" si="52"/>
        <v>3.6016773575500007</v>
      </c>
      <c r="AO34" s="155">
        <f t="shared" si="53"/>
        <v>3.6016773575500007</v>
      </c>
      <c r="AP34" s="156">
        <f t="shared" si="54"/>
        <v>3601.677357550001</v>
      </c>
      <c r="AQ34" s="142"/>
      <c r="AR34" s="143">
        <f t="shared" ref="AR34:AU41" si="62">IF(AC34=0,0,((F34*AC34)-($Y$4*$Y$5*AC34)-Y$7*AC34)/1.21)</f>
        <v>2196725528.8197522</v>
      </c>
      <c r="AS34" s="144">
        <f t="shared" si="62"/>
        <v>334866696.46642566</v>
      </c>
      <c r="AT34" s="144">
        <f t="shared" si="62"/>
        <v>3238681858.5803952</v>
      </c>
      <c r="AU34" s="144">
        <f t="shared" si="62"/>
        <v>702475914.36512399</v>
      </c>
      <c r="AV34" s="144">
        <f t="shared" si="58"/>
        <v>107157342.86925621</v>
      </c>
      <c r="AW34" s="144">
        <f t="shared" ref="AW34:AY41" si="63">IF(AH34=0,0,((K34*AH34)-($Y$4*$Y$5*AH34)-AD$7*AH34)/1.21)</f>
        <v>139899864.30152893</v>
      </c>
      <c r="AX34" s="144">
        <f t="shared" si="63"/>
        <v>75158969.651353315</v>
      </c>
      <c r="AY34" s="144">
        <f t="shared" si="63"/>
        <v>93762675.010599181</v>
      </c>
      <c r="AZ34" s="144">
        <f>IF(AK34=0,0,((O34*AK34)-($Z$4*$Z$5*AK34)-AD30*AK34)/1.21)</f>
        <v>78521094.364732683</v>
      </c>
      <c r="BA34" s="144">
        <f>IF(AL34=0,0,((N34*AL34)-($Y$4*$Y$5*AL34)-AH$7*AL34)/1.21)</f>
        <v>205384907.1660744</v>
      </c>
      <c r="BB34" s="144">
        <f t="shared" si="59"/>
        <v>32147202.860776864</v>
      </c>
      <c r="BC34" s="144">
        <f>IF(AN34=0,0,((Q34*AN34)-($Y$4*$Y$5*AN34)-AJ$7*AN34)/1.21)</f>
        <v>27384654.288809922</v>
      </c>
      <c r="BD34" s="144">
        <f>IF(AO34=0,0,((R34*AO34)-($Y$4*$Y$5*AO34)-AK$7*AO34)/1.21)</f>
        <v>89595445.010128111</v>
      </c>
      <c r="BE34" s="145">
        <f t="shared" si="56"/>
        <v>7321762153.7549562</v>
      </c>
      <c r="BF34" s="480"/>
      <c r="BG34" s="483"/>
      <c r="BH34" s="486"/>
      <c r="BI34" s="489"/>
    </row>
    <row r="35" spans="2:61" s="74" customFormat="1" x14ac:dyDescent="0.25">
      <c r="B35" s="182" t="s">
        <v>81</v>
      </c>
      <c r="C35" s="183"/>
      <c r="D35" s="184"/>
      <c r="E35" s="359"/>
      <c r="F35" s="185">
        <f t="shared" ref="F35:R36" si="64">F34-50000</f>
        <v>2000000</v>
      </c>
      <c r="G35" s="185">
        <f t="shared" si="64"/>
        <v>2200000</v>
      </c>
      <c r="H35" s="185">
        <f t="shared" si="64"/>
        <v>2300000</v>
      </c>
      <c r="I35" s="185">
        <f t="shared" si="64"/>
        <v>2900000</v>
      </c>
      <c r="J35" s="185">
        <f t="shared" si="64"/>
        <v>3550000</v>
      </c>
      <c r="K35" s="185">
        <f t="shared" si="64"/>
        <v>4650000</v>
      </c>
      <c r="L35" s="185">
        <f t="shared" si="64"/>
        <v>5000000</v>
      </c>
      <c r="M35" s="185">
        <f t="shared" si="64"/>
        <v>6250000</v>
      </c>
      <c r="N35" s="185">
        <f t="shared" si="64"/>
        <v>6850000</v>
      </c>
      <c r="O35" s="185">
        <f>O34-50000</f>
        <v>7050000</v>
      </c>
      <c r="P35" s="185">
        <f t="shared" si="64"/>
        <v>10750000</v>
      </c>
      <c r="Q35" s="185">
        <f t="shared" si="64"/>
        <v>9150000</v>
      </c>
      <c r="R35" s="185">
        <f t="shared" si="64"/>
        <v>30050000</v>
      </c>
      <c r="S35" s="79"/>
      <c r="X35" s="468"/>
      <c r="Y35" s="152">
        <v>0</v>
      </c>
      <c r="Z35" s="469"/>
      <c r="AA35" s="469"/>
      <c r="AB35" s="475"/>
      <c r="AC35" s="154">
        <f t="shared" si="42"/>
        <v>0</v>
      </c>
      <c r="AD35" s="155">
        <f t="shared" si="43"/>
        <v>0</v>
      </c>
      <c r="AE35" s="155">
        <f t="shared" si="44"/>
        <v>0</v>
      </c>
      <c r="AF35" s="155">
        <f t="shared" si="45"/>
        <v>0</v>
      </c>
      <c r="AG35" s="155">
        <f t="shared" si="46"/>
        <v>0</v>
      </c>
      <c r="AH35" s="155">
        <f t="shared" si="47"/>
        <v>0</v>
      </c>
      <c r="AI35" s="155">
        <f t="shared" si="48"/>
        <v>0</v>
      </c>
      <c r="AJ35" s="155">
        <f t="shared" si="49"/>
        <v>0</v>
      </c>
      <c r="AK35" s="155">
        <f t="shared" si="50"/>
        <v>0</v>
      </c>
      <c r="AL35" s="155">
        <f t="shared" si="51"/>
        <v>0</v>
      </c>
      <c r="AM35" s="155">
        <f t="shared" si="61"/>
        <v>0</v>
      </c>
      <c r="AN35" s="155">
        <f t="shared" si="52"/>
        <v>0</v>
      </c>
      <c r="AO35" s="155">
        <f t="shared" si="53"/>
        <v>0</v>
      </c>
      <c r="AP35" s="156">
        <f t="shared" si="54"/>
        <v>0</v>
      </c>
      <c r="AR35" s="143">
        <f t="shared" si="62"/>
        <v>0</v>
      </c>
      <c r="AS35" s="144">
        <f t="shared" si="62"/>
        <v>0</v>
      </c>
      <c r="AT35" s="144">
        <f t="shared" si="62"/>
        <v>0</v>
      </c>
      <c r="AU35" s="144">
        <f t="shared" si="62"/>
        <v>0</v>
      </c>
      <c r="AV35" s="144">
        <f t="shared" si="58"/>
        <v>0</v>
      </c>
      <c r="AW35" s="144">
        <f t="shared" si="63"/>
        <v>0</v>
      </c>
      <c r="AX35" s="144">
        <f t="shared" si="63"/>
        <v>0</v>
      </c>
      <c r="AY35" s="144">
        <f t="shared" si="63"/>
        <v>0</v>
      </c>
      <c r="AZ35" s="144">
        <f>IF(AK35=0,0,((O35*AK35)-($Z$4*$Z$5*AK35)-#REF!*AK35)/1.21)</f>
        <v>0</v>
      </c>
      <c r="BA35" s="144">
        <f t="shared" ref="BA35:BA41" si="65">IF(AL35=0,0,((N35*AL35)-($Y$4*$Y$5*AL35)-AH$7*AL35)/1.21)</f>
        <v>0</v>
      </c>
      <c r="BB35" s="144">
        <f t="shared" si="59"/>
        <v>0</v>
      </c>
      <c r="BC35" s="144">
        <f t="shared" si="59"/>
        <v>0</v>
      </c>
      <c r="BD35" s="144">
        <f t="shared" si="59"/>
        <v>0</v>
      </c>
      <c r="BE35" s="145">
        <f t="shared" si="56"/>
        <v>0</v>
      </c>
      <c r="BF35" s="480"/>
      <c r="BG35" s="483"/>
      <c r="BH35" s="486"/>
      <c r="BI35" s="489"/>
    </row>
    <row r="36" spans="2:61" s="74" customFormat="1" x14ac:dyDescent="0.25">
      <c r="B36" s="182" t="s">
        <v>82</v>
      </c>
      <c r="C36" s="183"/>
      <c r="D36" s="184"/>
      <c r="E36" s="359"/>
      <c r="F36" s="185">
        <f t="shared" si="64"/>
        <v>1950000</v>
      </c>
      <c r="G36" s="185">
        <f t="shared" si="64"/>
        <v>2150000</v>
      </c>
      <c r="H36" s="185">
        <f t="shared" si="64"/>
        <v>2250000</v>
      </c>
      <c r="I36" s="185">
        <f t="shared" si="64"/>
        <v>2850000</v>
      </c>
      <c r="J36" s="185">
        <f t="shared" si="64"/>
        <v>3500000</v>
      </c>
      <c r="K36" s="185">
        <f t="shared" si="64"/>
        <v>4600000</v>
      </c>
      <c r="L36" s="185">
        <f t="shared" si="64"/>
        <v>4950000</v>
      </c>
      <c r="M36" s="185">
        <f t="shared" si="64"/>
        <v>6200000</v>
      </c>
      <c r="N36" s="185">
        <f t="shared" si="64"/>
        <v>6800000</v>
      </c>
      <c r="O36" s="185">
        <f>O35-50000</f>
        <v>7000000</v>
      </c>
      <c r="P36" s="185">
        <f t="shared" si="64"/>
        <v>10700000</v>
      </c>
      <c r="Q36" s="185">
        <f t="shared" si="64"/>
        <v>9100000</v>
      </c>
      <c r="R36" s="185">
        <f t="shared" si="64"/>
        <v>30000000</v>
      </c>
      <c r="S36" s="79"/>
      <c r="X36" s="468"/>
      <c r="Y36" s="152">
        <v>0</v>
      </c>
      <c r="Z36" s="469"/>
      <c r="AA36" s="469"/>
      <c r="AB36" s="475"/>
      <c r="AC36" s="154">
        <f t="shared" si="42"/>
        <v>0</v>
      </c>
      <c r="AD36" s="155">
        <f t="shared" si="43"/>
        <v>0</v>
      </c>
      <c r="AE36" s="155">
        <f t="shared" si="44"/>
        <v>0</v>
      </c>
      <c r="AF36" s="155">
        <f t="shared" si="45"/>
        <v>0</v>
      </c>
      <c r="AG36" s="155">
        <f t="shared" si="46"/>
        <v>0</v>
      </c>
      <c r="AH36" s="155">
        <f t="shared" si="47"/>
        <v>0</v>
      </c>
      <c r="AI36" s="155">
        <f t="shared" si="48"/>
        <v>0</v>
      </c>
      <c r="AJ36" s="155">
        <f t="shared" si="49"/>
        <v>0</v>
      </c>
      <c r="AK36" s="155">
        <f t="shared" si="50"/>
        <v>0</v>
      </c>
      <c r="AL36" s="155">
        <f t="shared" si="51"/>
        <v>0</v>
      </c>
      <c r="AM36" s="155">
        <f t="shared" si="61"/>
        <v>0</v>
      </c>
      <c r="AN36" s="155">
        <f t="shared" si="52"/>
        <v>0</v>
      </c>
      <c r="AO36" s="155">
        <f t="shared" si="53"/>
        <v>0</v>
      </c>
      <c r="AP36" s="156">
        <f t="shared" si="54"/>
        <v>0</v>
      </c>
      <c r="AR36" s="143">
        <f t="shared" si="62"/>
        <v>0</v>
      </c>
      <c r="AS36" s="144">
        <f t="shared" si="62"/>
        <v>0</v>
      </c>
      <c r="AT36" s="144">
        <f t="shared" si="62"/>
        <v>0</v>
      </c>
      <c r="AU36" s="144">
        <f t="shared" si="62"/>
        <v>0</v>
      </c>
      <c r="AV36" s="144">
        <f t="shared" si="58"/>
        <v>0</v>
      </c>
      <c r="AW36" s="144">
        <f t="shared" si="63"/>
        <v>0</v>
      </c>
      <c r="AX36" s="144">
        <f t="shared" si="63"/>
        <v>0</v>
      </c>
      <c r="AY36" s="144">
        <f t="shared" si="63"/>
        <v>0</v>
      </c>
      <c r="AZ36" s="144">
        <f>IF(AK36=0,0,((O36*AK36)-($Z$4*$Z$5*AK36)-#REF!*AK36)/1.21)</f>
        <v>0</v>
      </c>
      <c r="BA36" s="144">
        <f t="shared" si="65"/>
        <v>0</v>
      </c>
      <c r="BB36" s="144">
        <f t="shared" si="59"/>
        <v>0</v>
      </c>
      <c r="BC36" s="144">
        <f t="shared" si="59"/>
        <v>0</v>
      </c>
      <c r="BD36" s="144">
        <f t="shared" si="59"/>
        <v>0</v>
      </c>
      <c r="BE36" s="145">
        <f t="shared" si="56"/>
        <v>0</v>
      </c>
      <c r="BF36" s="480"/>
      <c r="BG36" s="483"/>
      <c r="BH36" s="486"/>
      <c r="BI36" s="489"/>
    </row>
    <row r="37" spans="2:61" s="74" customFormat="1" x14ac:dyDescent="0.25">
      <c r="B37" s="182" t="s">
        <v>83</v>
      </c>
      <c r="C37" s="183"/>
      <c r="D37" s="184"/>
      <c r="E37" s="359"/>
      <c r="F37" s="185">
        <v>0</v>
      </c>
      <c r="G37" s="185">
        <f t="shared" ref="G37:G40" si="66">IF(F37=0,0,F37+$G$15)</f>
        <v>0</v>
      </c>
      <c r="H37" s="185">
        <f t="shared" ref="H37:H40" si="67">IF(F37=0,0,F37+$H$15)</f>
        <v>0</v>
      </c>
      <c r="I37" s="185">
        <f t="shared" ref="I37:I40" si="68">IF(F37=0,0,F37+$I$15)</f>
        <v>0</v>
      </c>
      <c r="J37" s="185">
        <f t="shared" ref="J37:J40" si="69">F37+$J$15</f>
        <v>0</v>
      </c>
      <c r="K37" s="185">
        <f t="shared" ref="K37:K40" si="70">F37+$K$15</f>
        <v>0</v>
      </c>
      <c r="L37" s="185">
        <f t="shared" ref="L37:M40" si="71">F37+$L$15</f>
        <v>0</v>
      </c>
      <c r="M37" s="185">
        <f t="shared" si="71"/>
        <v>0</v>
      </c>
      <c r="N37" s="185">
        <f>I37+$L$15</f>
        <v>0</v>
      </c>
      <c r="O37" s="185">
        <f>H37+$L$15</f>
        <v>0</v>
      </c>
      <c r="P37" s="185">
        <f t="shared" ref="P37:R40" si="72">J37+$L$15</f>
        <v>0</v>
      </c>
      <c r="Q37" s="185">
        <f t="shared" si="72"/>
        <v>0</v>
      </c>
      <c r="R37" s="185">
        <f t="shared" si="72"/>
        <v>0</v>
      </c>
      <c r="S37" s="79"/>
      <c r="X37" s="468"/>
      <c r="Y37" s="152">
        <v>0</v>
      </c>
      <c r="Z37" s="469"/>
      <c r="AA37" s="469"/>
      <c r="AB37" s="475"/>
      <c r="AC37" s="154">
        <f t="shared" si="42"/>
        <v>0</v>
      </c>
      <c r="AD37" s="155">
        <f t="shared" si="43"/>
        <v>0</v>
      </c>
      <c r="AE37" s="155">
        <f t="shared" si="44"/>
        <v>0</v>
      </c>
      <c r="AF37" s="155">
        <f t="shared" si="45"/>
        <v>0</v>
      </c>
      <c r="AG37" s="155">
        <f t="shared" si="46"/>
        <v>0</v>
      </c>
      <c r="AH37" s="155">
        <f t="shared" si="47"/>
        <v>0</v>
      </c>
      <c r="AI37" s="155">
        <f t="shared" si="48"/>
        <v>0</v>
      </c>
      <c r="AJ37" s="155">
        <f t="shared" si="49"/>
        <v>0</v>
      </c>
      <c r="AK37" s="155">
        <f t="shared" si="50"/>
        <v>0</v>
      </c>
      <c r="AL37" s="155">
        <f t="shared" si="51"/>
        <v>0</v>
      </c>
      <c r="AM37" s="155">
        <f t="shared" si="61"/>
        <v>0</v>
      </c>
      <c r="AN37" s="155">
        <f t="shared" si="52"/>
        <v>0</v>
      </c>
      <c r="AO37" s="155">
        <f t="shared" si="53"/>
        <v>0</v>
      </c>
      <c r="AP37" s="156">
        <f t="shared" si="54"/>
        <v>0</v>
      </c>
      <c r="AR37" s="143">
        <f t="shared" si="62"/>
        <v>0</v>
      </c>
      <c r="AS37" s="144">
        <f t="shared" si="62"/>
        <v>0</v>
      </c>
      <c r="AT37" s="144">
        <f t="shared" si="62"/>
        <v>0</v>
      </c>
      <c r="AU37" s="144">
        <f t="shared" si="62"/>
        <v>0</v>
      </c>
      <c r="AV37" s="144">
        <f t="shared" si="58"/>
        <v>0</v>
      </c>
      <c r="AW37" s="144">
        <f t="shared" si="63"/>
        <v>0</v>
      </c>
      <c r="AX37" s="144">
        <f t="shared" si="63"/>
        <v>0</v>
      </c>
      <c r="AY37" s="144">
        <f t="shared" si="63"/>
        <v>0</v>
      </c>
      <c r="AZ37" s="144">
        <f>IF(AK37=0,0,((O37*AK37)-($Z$4*$Z$5*AK37)-#REF!*AK37)/1.21)</f>
        <v>0</v>
      </c>
      <c r="BA37" s="144">
        <f t="shared" si="65"/>
        <v>0</v>
      </c>
      <c r="BB37" s="144">
        <f t="shared" si="59"/>
        <v>0</v>
      </c>
      <c r="BC37" s="144">
        <f t="shared" si="59"/>
        <v>0</v>
      </c>
      <c r="BD37" s="144">
        <f t="shared" si="59"/>
        <v>0</v>
      </c>
      <c r="BE37" s="145">
        <f t="shared" si="56"/>
        <v>0</v>
      </c>
      <c r="BF37" s="480"/>
      <c r="BG37" s="483"/>
      <c r="BH37" s="486"/>
      <c r="BI37" s="489"/>
    </row>
    <row r="38" spans="2:61" s="74" customFormat="1" x14ac:dyDescent="0.25">
      <c r="B38" s="182" t="s">
        <v>84</v>
      </c>
      <c r="C38" s="183"/>
      <c r="D38" s="184"/>
      <c r="E38" s="359"/>
      <c r="F38" s="185">
        <v>0</v>
      </c>
      <c r="G38" s="185">
        <f t="shared" si="66"/>
        <v>0</v>
      </c>
      <c r="H38" s="185">
        <f t="shared" si="67"/>
        <v>0</v>
      </c>
      <c r="I38" s="185">
        <f t="shared" si="68"/>
        <v>0</v>
      </c>
      <c r="J38" s="185">
        <f t="shared" si="69"/>
        <v>0</v>
      </c>
      <c r="K38" s="185">
        <f t="shared" si="70"/>
        <v>0</v>
      </c>
      <c r="L38" s="185">
        <f t="shared" si="71"/>
        <v>0</v>
      </c>
      <c r="M38" s="185">
        <f t="shared" si="71"/>
        <v>0</v>
      </c>
      <c r="N38" s="185">
        <f>I38+$L$15</f>
        <v>0</v>
      </c>
      <c r="O38" s="185">
        <f>H38+$L$15</f>
        <v>0</v>
      </c>
      <c r="P38" s="185">
        <f t="shared" si="72"/>
        <v>0</v>
      </c>
      <c r="Q38" s="185">
        <f t="shared" si="72"/>
        <v>0</v>
      </c>
      <c r="R38" s="185">
        <f t="shared" si="72"/>
        <v>0</v>
      </c>
      <c r="S38" s="79"/>
      <c r="X38" s="468"/>
      <c r="Y38" s="152">
        <v>0</v>
      </c>
      <c r="Z38" s="469"/>
      <c r="AA38" s="469"/>
      <c r="AB38" s="475"/>
      <c r="AC38" s="154">
        <f t="shared" si="42"/>
        <v>0</v>
      </c>
      <c r="AD38" s="155">
        <f t="shared" si="43"/>
        <v>0</v>
      </c>
      <c r="AE38" s="155">
        <f t="shared" si="44"/>
        <v>0</v>
      </c>
      <c r="AF38" s="155">
        <f t="shared" si="45"/>
        <v>0</v>
      </c>
      <c r="AG38" s="155">
        <f t="shared" si="46"/>
        <v>0</v>
      </c>
      <c r="AH38" s="155">
        <f t="shared" si="47"/>
        <v>0</v>
      </c>
      <c r="AI38" s="155">
        <f t="shared" si="48"/>
        <v>0</v>
      </c>
      <c r="AJ38" s="155">
        <f t="shared" si="49"/>
        <v>0</v>
      </c>
      <c r="AK38" s="155">
        <f t="shared" si="50"/>
        <v>0</v>
      </c>
      <c r="AL38" s="155">
        <f t="shared" si="51"/>
        <v>0</v>
      </c>
      <c r="AM38" s="155">
        <f t="shared" si="61"/>
        <v>0</v>
      </c>
      <c r="AN38" s="155">
        <f t="shared" si="52"/>
        <v>0</v>
      </c>
      <c r="AO38" s="155">
        <f t="shared" si="53"/>
        <v>0</v>
      </c>
      <c r="AP38" s="156">
        <f t="shared" si="54"/>
        <v>0</v>
      </c>
      <c r="AR38" s="143">
        <f t="shared" si="62"/>
        <v>0</v>
      </c>
      <c r="AS38" s="144">
        <f t="shared" si="62"/>
        <v>0</v>
      </c>
      <c r="AT38" s="144">
        <f t="shared" si="62"/>
        <v>0</v>
      </c>
      <c r="AU38" s="144">
        <f t="shared" si="62"/>
        <v>0</v>
      </c>
      <c r="AV38" s="144">
        <f t="shared" si="58"/>
        <v>0</v>
      </c>
      <c r="AW38" s="144">
        <f t="shared" si="63"/>
        <v>0</v>
      </c>
      <c r="AX38" s="144">
        <f t="shared" si="63"/>
        <v>0</v>
      </c>
      <c r="AY38" s="144">
        <f t="shared" si="63"/>
        <v>0</v>
      </c>
      <c r="AZ38" s="144">
        <f>IF(AK38=0,0,((O38*AK38)-($Z$4*$Z$5*AK38)-AD32*AK38)/1.21)</f>
        <v>0</v>
      </c>
      <c r="BA38" s="144">
        <f t="shared" si="65"/>
        <v>0</v>
      </c>
      <c r="BB38" s="144">
        <f t="shared" si="59"/>
        <v>0</v>
      </c>
      <c r="BC38" s="144">
        <f t="shared" si="59"/>
        <v>0</v>
      </c>
      <c r="BD38" s="144">
        <f t="shared" si="59"/>
        <v>0</v>
      </c>
      <c r="BE38" s="145">
        <f t="shared" si="56"/>
        <v>0</v>
      </c>
      <c r="BF38" s="480"/>
      <c r="BG38" s="483"/>
      <c r="BH38" s="486"/>
      <c r="BI38" s="489"/>
    </row>
    <row r="39" spans="2:61" s="74" customFormat="1" x14ac:dyDescent="0.25">
      <c r="B39" s="182" t="s">
        <v>85</v>
      </c>
      <c r="C39" s="183"/>
      <c r="D39" s="184"/>
      <c r="E39" s="359"/>
      <c r="F39" s="185">
        <v>0</v>
      </c>
      <c r="G39" s="185">
        <f t="shared" si="66"/>
        <v>0</v>
      </c>
      <c r="H39" s="185">
        <f t="shared" si="67"/>
        <v>0</v>
      </c>
      <c r="I39" s="185">
        <f t="shared" si="68"/>
        <v>0</v>
      </c>
      <c r="J39" s="185">
        <f t="shared" si="69"/>
        <v>0</v>
      </c>
      <c r="K39" s="185">
        <f t="shared" si="70"/>
        <v>0</v>
      </c>
      <c r="L39" s="185">
        <f t="shared" si="71"/>
        <v>0</v>
      </c>
      <c r="M39" s="185">
        <f t="shared" si="71"/>
        <v>0</v>
      </c>
      <c r="N39" s="185">
        <f>I39+$L$15</f>
        <v>0</v>
      </c>
      <c r="O39" s="185">
        <f>H39+$L$15</f>
        <v>0</v>
      </c>
      <c r="P39" s="185">
        <f t="shared" si="72"/>
        <v>0</v>
      </c>
      <c r="Q39" s="185">
        <f t="shared" si="72"/>
        <v>0</v>
      </c>
      <c r="R39" s="185">
        <f t="shared" si="72"/>
        <v>0</v>
      </c>
      <c r="S39" s="79"/>
      <c r="X39" s="468"/>
      <c r="Y39" s="152">
        <v>0</v>
      </c>
      <c r="Z39" s="469"/>
      <c r="AA39" s="469"/>
      <c r="AB39" s="475"/>
      <c r="AC39" s="154">
        <f t="shared" si="42"/>
        <v>0</v>
      </c>
      <c r="AD39" s="155">
        <f t="shared" si="43"/>
        <v>0</v>
      </c>
      <c r="AE39" s="155">
        <f t="shared" si="44"/>
        <v>0</v>
      </c>
      <c r="AF39" s="155">
        <f t="shared" si="45"/>
        <v>0</v>
      </c>
      <c r="AG39" s="155">
        <f t="shared" si="46"/>
        <v>0</v>
      </c>
      <c r="AH39" s="155">
        <f t="shared" si="47"/>
        <v>0</v>
      </c>
      <c r="AI39" s="155">
        <f t="shared" si="48"/>
        <v>0</v>
      </c>
      <c r="AJ39" s="155">
        <f t="shared" si="49"/>
        <v>0</v>
      </c>
      <c r="AK39" s="155">
        <f t="shared" si="50"/>
        <v>0</v>
      </c>
      <c r="AL39" s="155">
        <f t="shared" si="51"/>
        <v>0</v>
      </c>
      <c r="AM39" s="155">
        <f t="shared" si="61"/>
        <v>0</v>
      </c>
      <c r="AN39" s="155">
        <f t="shared" si="52"/>
        <v>0</v>
      </c>
      <c r="AO39" s="155">
        <f t="shared" si="53"/>
        <v>0</v>
      </c>
      <c r="AP39" s="156">
        <f t="shared" si="54"/>
        <v>0</v>
      </c>
      <c r="AR39" s="143">
        <f t="shared" si="62"/>
        <v>0</v>
      </c>
      <c r="AS39" s="144">
        <f t="shared" si="62"/>
        <v>0</v>
      </c>
      <c r="AT39" s="144">
        <f t="shared" si="62"/>
        <v>0</v>
      </c>
      <c r="AU39" s="144">
        <f t="shared" si="62"/>
        <v>0</v>
      </c>
      <c r="AV39" s="144">
        <f t="shared" si="58"/>
        <v>0</v>
      </c>
      <c r="AW39" s="144">
        <f t="shared" si="63"/>
        <v>0</v>
      </c>
      <c r="AX39" s="144">
        <f t="shared" si="63"/>
        <v>0</v>
      </c>
      <c r="AY39" s="144">
        <f t="shared" si="63"/>
        <v>0</v>
      </c>
      <c r="AZ39" s="144">
        <f>IF(AK39=0,0,((O39*AK39)-($Z$4*$Z$5*AK39)-AD33*AK39)/1.21)</f>
        <v>0</v>
      </c>
      <c r="BA39" s="144">
        <f t="shared" si="65"/>
        <v>0</v>
      </c>
      <c r="BB39" s="144">
        <f t="shared" si="59"/>
        <v>0</v>
      </c>
      <c r="BC39" s="144">
        <f t="shared" si="59"/>
        <v>0</v>
      </c>
      <c r="BD39" s="144">
        <f t="shared" si="59"/>
        <v>0</v>
      </c>
      <c r="BE39" s="145">
        <f t="shared" si="56"/>
        <v>0</v>
      </c>
      <c r="BF39" s="480"/>
      <c r="BG39" s="483"/>
      <c r="BH39" s="486"/>
      <c r="BI39" s="489"/>
    </row>
    <row r="40" spans="2:61" s="74" customFormat="1" x14ac:dyDescent="0.25">
      <c r="B40" s="182" t="s">
        <v>86</v>
      </c>
      <c r="C40" s="183"/>
      <c r="D40" s="184"/>
      <c r="E40" s="359"/>
      <c r="F40" s="185">
        <v>0</v>
      </c>
      <c r="G40" s="185">
        <f t="shared" si="66"/>
        <v>0</v>
      </c>
      <c r="H40" s="185">
        <f t="shared" si="67"/>
        <v>0</v>
      </c>
      <c r="I40" s="185">
        <f t="shared" si="68"/>
        <v>0</v>
      </c>
      <c r="J40" s="185">
        <f t="shared" si="69"/>
        <v>0</v>
      </c>
      <c r="K40" s="185">
        <f t="shared" si="70"/>
        <v>0</v>
      </c>
      <c r="L40" s="185">
        <f t="shared" si="71"/>
        <v>0</v>
      </c>
      <c r="M40" s="185">
        <f t="shared" si="71"/>
        <v>0</v>
      </c>
      <c r="N40" s="185">
        <f>I40+$L$15</f>
        <v>0</v>
      </c>
      <c r="O40" s="185">
        <f>H40+$L$15</f>
        <v>0</v>
      </c>
      <c r="P40" s="185">
        <f t="shared" si="72"/>
        <v>0</v>
      </c>
      <c r="Q40" s="185">
        <f t="shared" si="72"/>
        <v>0</v>
      </c>
      <c r="R40" s="185">
        <f t="shared" si="72"/>
        <v>0</v>
      </c>
      <c r="S40" s="79"/>
      <c r="X40" s="468"/>
      <c r="Y40" s="152">
        <v>0</v>
      </c>
      <c r="Z40" s="469"/>
      <c r="AA40" s="469"/>
      <c r="AB40" s="475"/>
      <c r="AC40" s="154">
        <f t="shared" si="42"/>
        <v>0</v>
      </c>
      <c r="AD40" s="155">
        <f t="shared" si="43"/>
        <v>0</v>
      </c>
      <c r="AE40" s="155">
        <f t="shared" si="44"/>
        <v>0</v>
      </c>
      <c r="AF40" s="155">
        <f t="shared" si="45"/>
        <v>0</v>
      </c>
      <c r="AG40" s="155">
        <f t="shared" si="46"/>
        <v>0</v>
      </c>
      <c r="AH40" s="155">
        <f t="shared" si="47"/>
        <v>0</v>
      </c>
      <c r="AI40" s="155">
        <f t="shared" si="48"/>
        <v>0</v>
      </c>
      <c r="AJ40" s="155">
        <f t="shared" si="49"/>
        <v>0</v>
      </c>
      <c r="AK40" s="155">
        <f t="shared" si="50"/>
        <v>0</v>
      </c>
      <c r="AL40" s="155">
        <f t="shared" si="51"/>
        <v>0</v>
      </c>
      <c r="AM40" s="155">
        <f t="shared" si="61"/>
        <v>0</v>
      </c>
      <c r="AN40" s="155">
        <f t="shared" si="52"/>
        <v>0</v>
      </c>
      <c r="AO40" s="155">
        <f t="shared" si="53"/>
        <v>0</v>
      </c>
      <c r="AP40" s="156">
        <f t="shared" si="54"/>
        <v>0</v>
      </c>
      <c r="AR40" s="143">
        <f t="shared" si="62"/>
        <v>0</v>
      </c>
      <c r="AS40" s="144">
        <f t="shared" si="62"/>
        <v>0</v>
      </c>
      <c r="AT40" s="144">
        <f t="shared" si="62"/>
        <v>0</v>
      </c>
      <c r="AU40" s="144">
        <f t="shared" si="62"/>
        <v>0</v>
      </c>
      <c r="AV40" s="144">
        <f t="shared" si="58"/>
        <v>0</v>
      </c>
      <c r="AW40" s="144">
        <f t="shared" si="63"/>
        <v>0</v>
      </c>
      <c r="AX40" s="144">
        <f t="shared" si="63"/>
        <v>0</v>
      </c>
      <c r="AY40" s="144">
        <f t="shared" si="63"/>
        <v>0</v>
      </c>
      <c r="AZ40" s="144">
        <f>IF(AK40=0,0,((O40*AK40)-($Z$4*$Z$5*AK40)-AD34*AK40)/1.21)</f>
        <v>0</v>
      </c>
      <c r="BA40" s="144">
        <f t="shared" si="65"/>
        <v>0</v>
      </c>
      <c r="BB40" s="144">
        <f t="shared" si="59"/>
        <v>0</v>
      </c>
      <c r="BC40" s="144">
        <f t="shared" si="59"/>
        <v>0</v>
      </c>
      <c r="BD40" s="144">
        <f t="shared" si="59"/>
        <v>0</v>
      </c>
      <c r="BE40" s="145">
        <f t="shared" si="56"/>
        <v>0</v>
      </c>
      <c r="BF40" s="481"/>
      <c r="BG40" s="484"/>
      <c r="BH40" s="487"/>
      <c r="BI40" s="489"/>
    </row>
    <row r="41" spans="2:61" s="74" customFormat="1" x14ac:dyDescent="0.25">
      <c r="B41" s="188" t="s">
        <v>87</v>
      </c>
      <c r="C41" s="189"/>
      <c r="D41" s="190"/>
      <c r="E41" s="359"/>
      <c r="F41" s="191">
        <f t="shared" ref="F41:R41" si="73">F32</f>
        <v>2150000</v>
      </c>
      <c r="G41" s="191">
        <f t="shared" si="73"/>
        <v>2350000</v>
      </c>
      <c r="H41" s="191">
        <f t="shared" si="73"/>
        <v>2450000</v>
      </c>
      <c r="I41" s="191">
        <f t="shared" si="73"/>
        <v>3050000</v>
      </c>
      <c r="J41" s="191">
        <f t="shared" si="73"/>
        <v>3700000</v>
      </c>
      <c r="K41" s="191">
        <f t="shared" si="73"/>
        <v>4800000</v>
      </c>
      <c r="L41" s="191">
        <f t="shared" si="73"/>
        <v>5150000</v>
      </c>
      <c r="M41" s="191">
        <f t="shared" si="73"/>
        <v>6400000</v>
      </c>
      <c r="N41" s="191">
        <f t="shared" si="73"/>
        <v>7000000</v>
      </c>
      <c r="O41" s="191">
        <f t="shared" si="73"/>
        <v>7200000</v>
      </c>
      <c r="P41" s="191">
        <f t="shared" si="73"/>
        <v>10900000</v>
      </c>
      <c r="Q41" s="191">
        <f t="shared" si="73"/>
        <v>9300000</v>
      </c>
      <c r="R41" s="191">
        <f t="shared" si="73"/>
        <v>30200000</v>
      </c>
      <c r="S41" s="79"/>
      <c r="V41" s="187"/>
      <c r="W41" s="187"/>
      <c r="X41" s="501">
        <f>SUM(Y41:Y48)</f>
        <v>2.2000000000000002E-2</v>
      </c>
      <c r="Y41" s="152">
        <v>0</v>
      </c>
      <c r="Z41" s="502">
        <v>2.2591787780380641E-2</v>
      </c>
      <c r="AA41" s="502">
        <v>6.9597218551125384E-2</v>
      </c>
      <c r="AB41" s="475"/>
      <c r="AC41" s="154">
        <f t="shared" si="42"/>
        <v>0</v>
      </c>
      <c r="AD41" s="155">
        <f t="shared" si="43"/>
        <v>0</v>
      </c>
      <c r="AE41" s="155">
        <f t="shared" si="44"/>
        <v>0</v>
      </c>
      <c r="AF41" s="155">
        <f t="shared" si="45"/>
        <v>0</v>
      </c>
      <c r="AG41" s="155">
        <f t="shared" si="46"/>
        <v>0</v>
      </c>
      <c r="AH41" s="155">
        <f t="shared" si="47"/>
        <v>0</v>
      </c>
      <c r="AI41" s="155">
        <f t="shared" si="48"/>
        <v>0</v>
      </c>
      <c r="AJ41" s="155">
        <f t="shared" si="49"/>
        <v>0</v>
      </c>
      <c r="AK41" s="155">
        <f t="shared" si="50"/>
        <v>0</v>
      </c>
      <c r="AL41" s="155">
        <f t="shared" si="51"/>
        <v>0</v>
      </c>
      <c r="AM41" s="155">
        <f t="shared" si="61"/>
        <v>0</v>
      </c>
      <c r="AN41" s="155">
        <f t="shared" si="52"/>
        <v>0</v>
      </c>
      <c r="AO41" s="155">
        <f t="shared" si="53"/>
        <v>0</v>
      </c>
      <c r="AP41" s="156">
        <f t="shared" si="54"/>
        <v>0</v>
      </c>
      <c r="AQ41" s="142"/>
      <c r="AR41" s="143">
        <f t="shared" si="62"/>
        <v>0</v>
      </c>
      <c r="AS41" s="144">
        <f t="shared" si="62"/>
        <v>0</v>
      </c>
      <c r="AT41" s="144">
        <f t="shared" si="62"/>
        <v>0</v>
      </c>
      <c r="AU41" s="144">
        <f t="shared" si="62"/>
        <v>0</v>
      </c>
      <c r="AV41" s="144">
        <f t="shared" si="58"/>
        <v>0</v>
      </c>
      <c r="AW41" s="144">
        <f t="shared" si="63"/>
        <v>0</v>
      </c>
      <c r="AX41" s="144">
        <f t="shared" si="63"/>
        <v>0</v>
      </c>
      <c r="AY41" s="144">
        <f t="shared" si="63"/>
        <v>0</v>
      </c>
      <c r="AZ41" s="144">
        <f>IF(AK41=0,0,((O41*AK41)-($Z$4*$Z$5*AK41)-#REF!*AK41)/1.21)</f>
        <v>0</v>
      </c>
      <c r="BA41" s="144">
        <f t="shared" si="65"/>
        <v>0</v>
      </c>
      <c r="BB41" s="144">
        <f t="shared" si="59"/>
        <v>0</v>
      </c>
      <c r="BC41" s="144">
        <f t="shared" si="59"/>
        <v>0</v>
      </c>
      <c r="BD41" s="144">
        <f t="shared" si="59"/>
        <v>0</v>
      </c>
      <c r="BE41" s="145">
        <f t="shared" si="56"/>
        <v>0</v>
      </c>
      <c r="BF41" s="503">
        <f>SUM(BE41:BE48)</f>
        <v>4201442229.7525887</v>
      </c>
      <c r="BG41" s="506" t="s">
        <v>88</v>
      </c>
      <c r="BH41" s="490">
        <v>4907992472</v>
      </c>
    </row>
    <row r="42" spans="2:61" s="74" customFormat="1" x14ac:dyDescent="0.25">
      <c r="B42" s="188" t="s">
        <v>89</v>
      </c>
      <c r="C42" s="189"/>
      <c r="D42" s="190"/>
      <c r="E42" s="359"/>
      <c r="F42" s="191">
        <f t="shared" ref="F42:R42" si="74">F33</f>
        <v>2100000</v>
      </c>
      <c r="G42" s="191">
        <f t="shared" si="74"/>
        <v>2300000</v>
      </c>
      <c r="H42" s="191">
        <f t="shared" si="74"/>
        <v>2400000</v>
      </c>
      <c r="I42" s="191">
        <f t="shared" si="74"/>
        <v>3000000</v>
      </c>
      <c r="J42" s="191">
        <f t="shared" si="74"/>
        <v>3650000</v>
      </c>
      <c r="K42" s="191">
        <f t="shared" si="74"/>
        <v>4750000</v>
      </c>
      <c r="L42" s="191">
        <f t="shared" si="74"/>
        <v>5100000</v>
      </c>
      <c r="M42" s="191">
        <f t="shared" si="74"/>
        <v>6350000</v>
      </c>
      <c r="N42" s="191">
        <f t="shared" si="74"/>
        <v>6950000</v>
      </c>
      <c r="O42" s="191">
        <f>O33</f>
        <v>7150000</v>
      </c>
      <c r="P42" s="191">
        <f t="shared" si="74"/>
        <v>10850000</v>
      </c>
      <c r="Q42" s="191">
        <f t="shared" si="74"/>
        <v>9250000</v>
      </c>
      <c r="R42" s="191">
        <f t="shared" si="74"/>
        <v>30150000</v>
      </c>
      <c r="S42" s="79"/>
      <c r="X42" s="501"/>
      <c r="Y42" s="152">
        <v>1.7000000000000001E-2</v>
      </c>
      <c r="Z42" s="502"/>
      <c r="AA42" s="502"/>
      <c r="AB42" s="475"/>
      <c r="AC42" s="154">
        <f t="shared" si="42"/>
        <v>881.69061712824009</v>
      </c>
      <c r="AD42" s="155">
        <f t="shared" si="43"/>
        <v>122.45703015670003</v>
      </c>
      <c r="AE42" s="155">
        <f t="shared" si="44"/>
        <v>1133.9520992510422</v>
      </c>
      <c r="AF42" s="155">
        <f t="shared" si="45"/>
        <v>195.93124825072002</v>
      </c>
      <c r="AG42" s="155">
        <f t="shared" si="46"/>
        <v>24.491406031340002</v>
      </c>
      <c r="AH42" s="155">
        <f t="shared" si="47"/>
        <v>24.491406031340002</v>
      </c>
      <c r="AI42" s="155">
        <f t="shared" si="48"/>
        <v>12.245703015670001</v>
      </c>
      <c r="AJ42" s="155">
        <f t="shared" si="49"/>
        <v>12.245703015670001</v>
      </c>
      <c r="AK42" s="155">
        <f t="shared" si="50"/>
        <v>9.7965624125360016</v>
      </c>
      <c r="AL42" s="155">
        <f t="shared" si="51"/>
        <v>24.491406031340002</v>
      </c>
      <c r="AM42" s="155"/>
      <c r="AN42" s="155">
        <f t="shared" si="52"/>
        <v>2.4491406031340004</v>
      </c>
      <c r="AO42" s="155">
        <f t="shared" si="53"/>
        <v>2.4491406031340004</v>
      </c>
      <c r="AP42" s="156">
        <f t="shared" si="54"/>
        <v>2446.6914625308659</v>
      </c>
      <c r="AQ42" s="142"/>
      <c r="AR42" s="143">
        <f>IF(AC42=0,0,((F42*AC42)-($Y$4*$Y$5*AC42)-Y$7*AC42)/1.21)+174697656.25</f>
        <v>1704904512.4229786</v>
      </c>
      <c r="AS42" s="144"/>
      <c r="AT42" s="144">
        <f>IF(AE42=0,0,((H42*AE42)-($Y$4*$Y$5*AE42)-AA$7*AE42)/1.21)+174697656.25</f>
        <v>2423858844.8471084</v>
      </c>
      <c r="AU42" s="144"/>
      <c r="AV42" s="144">
        <f t="shared" si="58"/>
        <v>73879034.722637191</v>
      </c>
      <c r="AW42" s="144"/>
      <c r="AX42" s="144"/>
      <c r="AY42" s="144"/>
      <c r="AZ42" s="144"/>
      <c r="BA42" s="144"/>
      <c r="BB42" s="144">
        <f t="shared" si="59"/>
        <v>0</v>
      </c>
      <c r="BC42" s="144"/>
      <c r="BD42" s="144"/>
      <c r="BE42" s="145">
        <f t="shared" si="56"/>
        <v>4202642391.9927244</v>
      </c>
      <c r="BF42" s="504"/>
      <c r="BG42" s="507"/>
      <c r="BH42" s="491"/>
    </row>
    <row r="43" spans="2:61" s="74" customFormat="1" x14ac:dyDescent="0.25">
      <c r="B43" s="188" t="s">
        <v>90</v>
      </c>
      <c r="C43" s="189"/>
      <c r="D43" s="190"/>
      <c r="E43" s="359"/>
      <c r="F43" s="191">
        <v>2276000</v>
      </c>
      <c r="G43" s="191"/>
      <c r="H43" s="191">
        <v>2433000</v>
      </c>
      <c r="I43" s="191"/>
      <c r="J43" s="191"/>
      <c r="K43" s="191"/>
      <c r="L43" s="191"/>
      <c r="M43" s="191"/>
      <c r="N43" s="191">
        <v>6848000</v>
      </c>
      <c r="O43" s="191"/>
      <c r="P43" s="191"/>
      <c r="Q43" s="191"/>
      <c r="R43" s="191"/>
      <c r="S43" s="79"/>
      <c r="X43" s="501"/>
      <c r="Y43" s="152"/>
      <c r="Z43" s="502"/>
      <c r="AA43" s="502"/>
      <c r="AB43" s="475"/>
      <c r="AC43" s="154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6"/>
      <c r="AQ43" s="142"/>
      <c r="AR43" s="143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5"/>
      <c r="BF43" s="504"/>
      <c r="BG43" s="507"/>
      <c r="BH43" s="491"/>
    </row>
    <row r="44" spans="2:61" s="74" customFormat="1" x14ac:dyDescent="0.25">
      <c r="B44" s="188" t="s">
        <v>91</v>
      </c>
      <c r="C44" s="189"/>
      <c r="D44" s="190"/>
      <c r="E44" s="359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79"/>
      <c r="X44" s="501"/>
      <c r="Y44" s="152">
        <v>5.0000000000000001E-3</v>
      </c>
      <c r="Z44" s="502"/>
      <c r="AA44" s="502"/>
      <c r="AB44" s="475"/>
      <c r="AC44" s="154">
        <f t="shared" si="42"/>
        <v>259.32076974360001</v>
      </c>
      <c r="AD44" s="155">
        <f t="shared" si="43"/>
        <v>36.016773575500004</v>
      </c>
      <c r="AE44" s="155">
        <f t="shared" si="44"/>
        <v>333.51532330913005</v>
      </c>
      <c r="AF44" s="155">
        <f t="shared" si="45"/>
        <v>57.626837720800005</v>
      </c>
      <c r="AG44" s="155">
        <f t="shared" si="46"/>
        <v>7.2033547151000006</v>
      </c>
      <c r="AH44" s="155">
        <f t="shared" si="47"/>
        <v>7.2033547151000006</v>
      </c>
      <c r="AI44" s="155">
        <f t="shared" si="48"/>
        <v>3.6016773575500003</v>
      </c>
      <c r="AJ44" s="155">
        <f t="shared" si="49"/>
        <v>3.6016773575500003</v>
      </c>
      <c r="AK44" s="155">
        <f t="shared" si="50"/>
        <v>2.8813418860400004</v>
      </c>
      <c r="AL44" s="155">
        <f t="shared" si="51"/>
        <v>7.2033547151000006</v>
      </c>
      <c r="AM44" s="155">
        <f t="shared" ref="AM44:AM60" si="75">$AM$15*Y44</f>
        <v>0.7203354715100001</v>
      </c>
      <c r="AN44" s="155">
        <f t="shared" si="52"/>
        <v>0.7203354715100001</v>
      </c>
      <c r="AO44" s="155">
        <f t="shared" si="53"/>
        <v>0.7203354715100001</v>
      </c>
      <c r="AP44" s="156">
        <f t="shared" si="54"/>
        <v>720.33547150999993</v>
      </c>
      <c r="AQ44" s="142"/>
      <c r="AR44" s="143">
        <f t="shared" ref="AR44:AR85" si="76">IF(AC44=0,0,((F44*AC44)-($Y$4*$Y$5*AC44)-Y$7*AC44)/1.21)</f>
        <v>0</v>
      </c>
      <c r="AS44" s="144">
        <f t="shared" ref="AS44:AS85" si="77">IF(AD44=0,0,((G44*AD44)-($Y$4*$Y$5*AD44)-Z$7*AD44)/1.21)</f>
        <v>0</v>
      </c>
      <c r="AT44" s="144">
        <f t="shared" ref="AT44:AT85" si="78">IF(AE44=0,0,((H44*AE44)-($Y$4*$Y$5*AE44)-AA$7*AE44)/1.21)</f>
        <v>0</v>
      </c>
      <c r="AU44" s="144">
        <f t="shared" ref="AU44:AU85" si="79">IF(AF44=0,0,((I44*AF44)-($Y$4*$Y$5*AF44)-AB$7*AF44)/1.21)</f>
        <v>0</v>
      </c>
      <c r="AV44" s="144">
        <f t="shared" ref="AV44:AV85" si="80">IF(AG44=0,0,((J44*AG44)-($Y$4*$Y$5*AG44)-AC$7*AG44)/1.21)</f>
        <v>0</v>
      </c>
      <c r="AW44" s="144">
        <f t="shared" ref="AW44:AW85" si="81">IF(AH44=0,0,((K44*AH44)-($Y$4*$Y$5*AH44)-AD$7*AH44)/1.21)</f>
        <v>0</v>
      </c>
      <c r="AX44" s="144">
        <f t="shared" ref="AX44:AX85" si="82">IF(AI44=0,0,((L44*AI44)-($Y$4*$Y$5*AI44)-AE$7*AI44)/1.21)</f>
        <v>0</v>
      </c>
      <c r="AY44" s="144">
        <f t="shared" ref="AY44:AY85" si="83">IF(AJ44=0,0,((M44*AJ44)-($Y$4*$Y$5*AJ44)-AF$7*AJ44)/1.21)</f>
        <v>0</v>
      </c>
      <c r="AZ44" s="144">
        <f t="shared" ref="AZ44:AZ50" si="84">IF(AK44=0,0,((O44*AK44)-($Z$4*$Z$5*AK44)-AD36*AK44)/1.21)</f>
        <v>-1200162.2401356695</v>
      </c>
      <c r="BA44" s="144">
        <f t="shared" ref="BA44:BA85" si="85">IF(AL44=0,0,((N44*AL44)-($Y$4*$Y$5*AL44)-AH$7*AL44)/1.21)</f>
        <v>0</v>
      </c>
      <c r="BB44" s="144">
        <f t="shared" si="59"/>
        <v>0</v>
      </c>
      <c r="BC44" s="144">
        <f t="shared" si="59"/>
        <v>0</v>
      </c>
      <c r="BD44" s="144">
        <f t="shared" si="59"/>
        <v>0</v>
      </c>
      <c r="BE44" s="145">
        <f t="shared" si="56"/>
        <v>-1200162.2401356695</v>
      </c>
      <c r="BF44" s="504"/>
      <c r="BG44" s="507"/>
      <c r="BH44" s="491"/>
    </row>
    <row r="45" spans="2:61" s="74" customFormat="1" x14ac:dyDescent="0.25">
      <c r="B45" s="188" t="s">
        <v>92</v>
      </c>
      <c r="C45" s="189"/>
      <c r="D45" s="190"/>
      <c r="E45" s="359"/>
      <c r="F45" s="191">
        <v>0</v>
      </c>
      <c r="G45" s="191">
        <f>IF(F45=0,0,F45+$G$15)</f>
        <v>0</v>
      </c>
      <c r="H45" s="191">
        <f>IF(F45=0,0,F45+$H$15)</f>
        <v>0</v>
      </c>
      <c r="I45" s="191">
        <f>IF(F45=0,0,F45+$I$15)</f>
        <v>0</v>
      </c>
      <c r="J45" s="191"/>
      <c r="K45" s="191"/>
      <c r="L45" s="191"/>
      <c r="M45" s="191"/>
      <c r="N45" s="191"/>
      <c r="O45" s="191"/>
      <c r="P45" s="191"/>
      <c r="Q45" s="191"/>
      <c r="R45" s="191"/>
      <c r="S45" s="79"/>
      <c r="X45" s="501"/>
      <c r="Y45" s="152">
        <v>0</v>
      </c>
      <c r="Z45" s="502"/>
      <c r="AA45" s="502"/>
      <c r="AB45" s="475"/>
      <c r="AC45" s="154">
        <f t="shared" si="42"/>
        <v>0</v>
      </c>
      <c r="AD45" s="155">
        <f t="shared" si="43"/>
        <v>0</v>
      </c>
      <c r="AE45" s="155">
        <f t="shared" si="44"/>
        <v>0</v>
      </c>
      <c r="AF45" s="155">
        <f t="shared" si="45"/>
        <v>0</v>
      </c>
      <c r="AG45" s="155">
        <f t="shared" si="46"/>
        <v>0</v>
      </c>
      <c r="AH45" s="155">
        <f t="shared" si="47"/>
        <v>0</v>
      </c>
      <c r="AI45" s="155">
        <f t="shared" si="48"/>
        <v>0</v>
      </c>
      <c r="AJ45" s="155">
        <f t="shared" si="49"/>
        <v>0</v>
      </c>
      <c r="AK45" s="155">
        <f t="shared" si="50"/>
        <v>0</v>
      </c>
      <c r="AL45" s="155">
        <f t="shared" si="51"/>
        <v>0</v>
      </c>
      <c r="AM45" s="155">
        <f t="shared" si="75"/>
        <v>0</v>
      </c>
      <c r="AN45" s="155">
        <f t="shared" si="52"/>
        <v>0</v>
      </c>
      <c r="AO45" s="155">
        <f t="shared" si="53"/>
        <v>0</v>
      </c>
      <c r="AP45" s="156">
        <f t="shared" si="54"/>
        <v>0</v>
      </c>
      <c r="AQ45" s="142"/>
      <c r="AR45" s="143">
        <f t="shared" si="76"/>
        <v>0</v>
      </c>
      <c r="AS45" s="144">
        <f t="shared" si="77"/>
        <v>0</v>
      </c>
      <c r="AT45" s="144">
        <f t="shared" si="78"/>
        <v>0</v>
      </c>
      <c r="AU45" s="144">
        <f t="shared" si="79"/>
        <v>0</v>
      </c>
      <c r="AV45" s="144">
        <f t="shared" si="80"/>
        <v>0</v>
      </c>
      <c r="AW45" s="144">
        <f t="shared" si="81"/>
        <v>0</v>
      </c>
      <c r="AX45" s="144">
        <f t="shared" si="82"/>
        <v>0</v>
      </c>
      <c r="AY45" s="144">
        <f t="shared" si="83"/>
        <v>0</v>
      </c>
      <c r="AZ45" s="144">
        <f t="shared" si="84"/>
        <v>0</v>
      </c>
      <c r="BA45" s="144">
        <f t="shared" si="85"/>
        <v>0</v>
      </c>
      <c r="BB45" s="144">
        <f t="shared" si="59"/>
        <v>0</v>
      </c>
      <c r="BC45" s="144">
        <f t="shared" si="59"/>
        <v>0</v>
      </c>
      <c r="BD45" s="144">
        <f t="shared" si="59"/>
        <v>0</v>
      </c>
      <c r="BE45" s="145">
        <f t="shared" si="56"/>
        <v>0</v>
      </c>
      <c r="BF45" s="504"/>
      <c r="BG45" s="507"/>
      <c r="BH45" s="491"/>
    </row>
    <row r="46" spans="2:61" s="74" customFormat="1" x14ac:dyDescent="0.25">
      <c r="B46" s="188" t="s">
        <v>93</v>
      </c>
      <c r="C46" s="189"/>
      <c r="D46" s="190"/>
      <c r="E46" s="359"/>
      <c r="F46" s="191">
        <v>0</v>
      </c>
      <c r="G46" s="191">
        <f>IF(F46=0,0,F46+$G$15)</f>
        <v>0</v>
      </c>
      <c r="H46" s="191">
        <f>IF(F46=0,0,F46+$H$15)</f>
        <v>0</v>
      </c>
      <c r="I46" s="191">
        <f>IF(F46=0,0,F46+$I$15)</f>
        <v>0</v>
      </c>
      <c r="J46" s="191"/>
      <c r="K46" s="191"/>
      <c r="L46" s="191"/>
      <c r="M46" s="191"/>
      <c r="N46" s="191"/>
      <c r="O46" s="191"/>
      <c r="P46" s="191"/>
      <c r="Q46" s="191"/>
      <c r="R46" s="191"/>
      <c r="S46" s="79"/>
      <c r="X46" s="501"/>
      <c r="Y46" s="152">
        <v>0</v>
      </c>
      <c r="Z46" s="502"/>
      <c r="AA46" s="502"/>
      <c r="AB46" s="475"/>
      <c r="AC46" s="154">
        <f t="shared" si="42"/>
        <v>0</v>
      </c>
      <c r="AD46" s="155">
        <f t="shared" si="43"/>
        <v>0</v>
      </c>
      <c r="AE46" s="155">
        <f t="shared" si="44"/>
        <v>0</v>
      </c>
      <c r="AF46" s="155">
        <f t="shared" si="45"/>
        <v>0</v>
      </c>
      <c r="AG46" s="155">
        <f t="shared" si="46"/>
        <v>0</v>
      </c>
      <c r="AH46" s="155">
        <f t="shared" si="47"/>
        <v>0</v>
      </c>
      <c r="AI46" s="155">
        <f t="shared" si="48"/>
        <v>0</v>
      </c>
      <c r="AJ46" s="155">
        <f t="shared" si="49"/>
        <v>0</v>
      </c>
      <c r="AK46" s="155">
        <f t="shared" si="50"/>
        <v>0</v>
      </c>
      <c r="AL46" s="155">
        <f t="shared" si="51"/>
        <v>0</v>
      </c>
      <c r="AM46" s="155">
        <f t="shared" si="75"/>
        <v>0</v>
      </c>
      <c r="AN46" s="155">
        <f t="shared" si="52"/>
        <v>0</v>
      </c>
      <c r="AO46" s="155">
        <f t="shared" si="53"/>
        <v>0</v>
      </c>
      <c r="AP46" s="156">
        <f t="shared" si="54"/>
        <v>0</v>
      </c>
      <c r="AQ46" s="142"/>
      <c r="AR46" s="143">
        <f t="shared" si="76"/>
        <v>0</v>
      </c>
      <c r="AS46" s="144">
        <f t="shared" si="77"/>
        <v>0</v>
      </c>
      <c r="AT46" s="144">
        <f t="shared" si="78"/>
        <v>0</v>
      </c>
      <c r="AU46" s="144">
        <f t="shared" si="79"/>
        <v>0</v>
      </c>
      <c r="AV46" s="144">
        <f t="shared" si="80"/>
        <v>0</v>
      </c>
      <c r="AW46" s="144">
        <f t="shared" si="81"/>
        <v>0</v>
      </c>
      <c r="AX46" s="144">
        <f t="shared" si="82"/>
        <v>0</v>
      </c>
      <c r="AY46" s="144">
        <f t="shared" si="83"/>
        <v>0</v>
      </c>
      <c r="AZ46" s="144">
        <f t="shared" si="84"/>
        <v>0</v>
      </c>
      <c r="BA46" s="144">
        <f t="shared" si="85"/>
        <v>0</v>
      </c>
      <c r="BB46" s="144">
        <f t="shared" si="59"/>
        <v>0</v>
      </c>
      <c r="BC46" s="144">
        <f t="shared" si="59"/>
        <v>0</v>
      </c>
      <c r="BD46" s="144">
        <f t="shared" si="59"/>
        <v>0</v>
      </c>
      <c r="BE46" s="145">
        <f t="shared" si="56"/>
        <v>0</v>
      </c>
      <c r="BF46" s="504"/>
      <c r="BG46" s="507"/>
      <c r="BH46" s="491"/>
    </row>
    <row r="47" spans="2:61" s="74" customFormat="1" x14ac:dyDescent="0.25">
      <c r="B47" s="188" t="s">
        <v>94</v>
      </c>
      <c r="C47" s="189"/>
      <c r="D47" s="190"/>
      <c r="E47" s="359"/>
      <c r="F47" s="191">
        <v>0</v>
      </c>
      <c r="G47" s="191">
        <f>IF(F47=0,0,F47+$G$15)</f>
        <v>0</v>
      </c>
      <c r="H47" s="191">
        <f>IF(F47=0,0,F47+$H$15)</f>
        <v>0</v>
      </c>
      <c r="I47" s="191">
        <f>IF(F47=0,0,F47+$I$15)</f>
        <v>0</v>
      </c>
      <c r="J47" s="191"/>
      <c r="K47" s="191"/>
      <c r="L47" s="191"/>
      <c r="M47" s="191"/>
      <c r="N47" s="191"/>
      <c r="O47" s="191"/>
      <c r="P47" s="191"/>
      <c r="Q47" s="191"/>
      <c r="R47" s="191"/>
      <c r="S47" s="79"/>
      <c r="X47" s="501"/>
      <c r="Y47" s="152">
        <v>0</v>
      </c>
      <c r="Z47" s="502"/>
      <c r="AA47" s="502"/>
      <c r="AB47" s="475"/>
      <c r="AC47" s="154">
        <f t="shared" si="42"/>
        <v>0</v>
      </c>
      <c r="AD47" s="155">
        <f t="shared" si="43"/>
        <v>0</v>
      </c>
      <c r="AE47" s="155">
        <f t="shared" si="44"/>
        <v>0</v>
      </c>
      <c r="AF47" s="155">
        <f t="shared" si="45"/>
        <v>0</v>
      </c>
      <c r="AG47" s="155">
        <f t="shared" si="46"/>
        <v>0</v>
      </c>
      <c r="AH47" s="155">
        <f t="shared" si="47"/>
        <v>0</v>
      </c>
      <c r="AI47" s="155">
        <f t="shared" si="48"/>
        <v>0</v>
      </c>
      <c r="AJ47" s="155">
        <f t="shared" si="49"/>
        <v>0</v>
      </c>
      <c r="AK47" s="155">
        <f t="shared" si="50"/>
        <v>0</v>
      </c>
      <c r="AL47" s="155">
        <f t="shared" si="51"/>
        <v>0</v>
      </c>
      <c r="AM47" s="155">
        <f t="shared" si="75"/>
        <v>0</v>
      </c>
      <c r="AN47" s="155">
        <f t="shared" si="52"/>
        <v>0</v>
      </c>
      <c r="AO47" s="155">
        <f t="shared" si="53"/>
        <v>0</v>
      </c>
      <c r="AP47" s="156">
        <f t="shared" si="54"/>
        <v>0</v>
      </c>
      <c r="AQ47" s="142"/>
      <c r="AR47" s="143">
        <f t="shared" si="76"/>
        <v>0</v>
      </c>
      <c r="AS47" s="144">
        <f t="shared" si="77"/>
        <v>0</v>
      </c>
      <c r="AT47" s="144">
        <f t="shared" si="78"/>
        <v>0</v>
      </c>
      <c r="AU47" s="144">
        <f t="shared" si="79"/>
        <v>0</v>
      </c>
      <c r="AV47" s="144">
        <f t="shared" si="80"/>
        <v>0</v>
      </c>
      <c r="AW47" s="144">
        <f t="shared" si="81"/>
        <v>0</v>
      </c>
      <c r="AX47" s="144">
        <f t="shared" si="82"/>
        <v>0</v>
      </c>
      <c r="AY47" s="144">
        <f t="shared" si="83"/>
        <v>0</v>
      </c>
      <c r="AZ47" s="144">
        <f t="shared" si="84"/>
        <v>0</v>
      </c>
      <c r="BA47" s="144">
        <f t="shared" si="85"/>
        <v>0</v>
      </c>
      <c r="BB47" s="144">
        <f t="shared" si="59"/>
        <v>0</v>
      </c>
      <c r="BC47" s="144">
        <f t="shared" si="59"/>
        <v>0</v>
      </c>
      <c r="BD47" s="144">
        <f t="shared" si="59"/>
        <v>0</v>
      </c>
      <c r="BE47" s="145">
        <f t="shared" si="56"/>
        <v>0</v>
      </c>
      <c r="BF47" s="504"/>
      <c r="BG47" s="507"/>
      <c r="BH47" s="491"/>
    </row>
    <row r="48" spans="2:61" s="74" customFormat="1" x14ac:dyDescent="0.25">
      <c r="B48" s="188" t="s">
        <v>95</v>
      </c>
      <c r="C48" s="189"/>
      <c r="D48" s="190"/>
      <c r="E48" s="361"/>
      <c r="F48" s="191">
        <v>0</v>
      </c>
      <c r="G48" s="191">
        <f>IF(F48=0,0,F48+$G$15)</f>
        <v>0</v>
      </c>
      <c r="H48" s="191">
        <f>IF(F48=0,0,F48+$H$15)</f>
        <v>0</v>
      </c>
      <c r="I48" s="191">
        <f>IF(F48=0,0,F48+$I$15)</f>
        <v>0</v>
      </c>
      <c r="J48" s="191"/>
      <c r="K48" s="191"/>
      <c r="L48" s="191"/>
      <c r="M48" s="191"/>
      <c r="N48" s="191"/>
      <c r="O48" s="191"/>
      <c r="P48" s="191"/>
      <c r="Q48" s="191"/>
      <c r="R48" s="191"/>
      <c r="S48" s="79"/>
      <c r="X48" s="501"/>
      <c r="Y48" s="152">
        <v>0</v>
      </c>
      <c r="Z48" s="502"/>
      <c r="AA48" s="502"/>
      <c r="AB48" s="475"/>
      <c r="AC48" s="154">
        <f t="shared" si="42"/>
        <v>0</v>
      </c>
      <c r="AD48" s="155">
        <f t="shared" si="43"/>
        <v>0</v>
      </c>
      <c r="AE48" s="155">
        <f t="shared" si="44"/>
        <v>0</v>
      </c>
      <c r="AF48" s="155">
        <f t="shared" si="45"/>
        <v>0</v>
      </c>
      <c r="AG48" s="155">
        <f t="shared" si="46"/>
        <v>0</v>
      </c>
      <c r="AH48" s="155">
        <f t="shared" si="47"/>
        <v>0</v>
      </c>
      <c r="AI48" s="155">
        <f t="shared" si="48"/>
        <v>0</v>
      </c>
      <c r="AJ48" s="155">
        <f t="shared" si="49"/>
        <v>0</v>
      </c>
      <c r="AK48" s="155">
        <f t="shared" si="50"/>
        <v>0</v>
      </c>
      <c r="AL48" s="155">
        <f t="shared" si="51"/>
        <v>0</v>
      </c>
      <c r="AM48" s="155">
        <f t="shared" si="75"/>
        <v>0</v>
      </c>
      <c r="AN48" s="155">
        <f t="shared" si="52"/>
        <v>0</v>
      </c>
      <c r="AO48" s="155">
        <f t="shared" si="53"/>
        <v>0</v>
      </c>
      <c r="AP48" s="156">
        <f t="shared" si="54"/>
        <v>0</v>
      </c>
      <c r="AQ48" s="142"/>
      <c r="AR48" s="143">
        <f t="shared" si="76"/>
        <v>0</v>
      </c>
      <c r="AS48" s="144">
        <f t="shared" si="77"/>
        <v>0</v>
      </c>
      <c r="AT48" s="144">
        <f t="shared" si="78"/>
        <v>0</v>
      </c>
      <c r="AU48" s="144">
        <f t="shared" si="79"/>
        <v>0</v>
      </c>
      <c r="AV48" s="144">
        <f t="shared" si="80"/>
        <v>0</v>
      </c>
      <c r="AW48" s="144">
        <f t="shared" si="81"/>
        <v>0</v>
      </c>
      <c r="AX48" s="144">
        <f t="shared" si="82"/>
        <v>0</v>
      </c>
      <c r="AY48" s="144">
        <f t="shared" si="83"/>
        <v>0</v>
      </c>
      <c r="AZ48" s="144">
        <f t="shared" si="84"/>
        <v>0</v>
      </c>
      <c r="BA48" s="144">
        <f t="shared" si="85"/>
        <v>0</v>
      </c>
      <c r="BB48" s="144">
        <f t="shared" si="59"/>
        <v>0</v>
      </c>
      <c r="BC48" s="144">
        <f t="shared" si="59"/>
        <v>0</v>
      </c>
      <c r="BD48" s="144">
        <f t="shared" si="59"/>
        <v>0</v>
      </c>
      <c r="BE48" s="145">
        <f t="shared" si="56"/>
        <v>0</v>
      </c>
      <c r="BF48" s="505"/>
      <c r="BG48" s="508"/>
      <c r="BH48" s="492"/>
    </row>
    <row r="49" spans="2:60" s="74" customFormat="1" ht="12" x14ac:dyDescent="0.25">
      <c r="B49" s="192" t="s">
        <v>96</v>
      </c>
      <c r="C49" s="193"/>
      <c r="D49" s="194"/>
      <c r="E49" s="362"/>
      <c r="F49" s="195">
        <f>F57+100000</f>
        <v>2400000</v>
      </c>
      <c r="G49" s="195">
        <f t="shared" ref="G49:R49" si="86">G57+100000</f>
        <v>2600000</v>
      </c>
      <c r="H49" s="195">
        <f t="shared" si="86"/>
        <v>2700000</v>
      </c>
      <c r="I49" s="195">
        <f t="shared" si="86"/>
        <v>3300000</v>
      </c>
      <c r="J49" s="195">
        <f t="shared" si="86"/>
        <v>3950000</v>
      </c>
      <c r="K49" s="195">
        <f t="shared" si="86"/>
        <v>5050000</v>
      </c>
      <c r="L49" s="195">
        <f t="shared" si="86"/>
        <v>5400000</v>
      </c>
      <c r="M49" s="195">
        <f t="shared" si="86"/>
        <v>6650000</v>
      </c>
      <c r="N49" s="195">
        <f t="shared" si="86"/>
        <v>7250000</v>
      </c>
      <c r="O49" s="195">
        <f t="shared" si="86"/>
        <v>7450000</v>
      </c>
      <c r="P49" s="195">
        <f t="shared" si="86"/>
        <v>11150000</v>
      </c>
      <c r="Q49" s="195">
        <f t="shared" si="86"/>
        <v>9550000</v>
      </c>
      <c r="R49" s="195">
        <f t="shared" si="86"/>
        <v>30450000</v>
      </c>
      <c r="S49" s="79"/>
      <c r="X49" s="493">
        <f>SUM(Y49:Y72)</f>
        <v>0.25</v>
      </c>
      <c r="Y49" s="152">
        <v>0.05</v>
      </c>
      <c r="Z49" s="494">
        <v>0.23294310419266137</v>
      </c>
      <c r="AA49" s="494">
        <v>0.21980155744871196</v>
      </c>
      <c r="AB49" s="475"/>
      <c r="AC49" s="154">
        <f t="shared" si="42"/>
        <v>2593.2076974360002</v>
      </c>
      <c r="AD49" s="155">
        <f t="shared" si="43"/>
        <v>360.16773575500008</v>
      </c>
      <c r="AE49" s="155">
        <f t="shared" si="44"/>
        <v>3335.1532330913005</v>
      </c>
      <c r="AF49" s="155">
        <f t="shared" si="45"/>
        <v>576.26837720800006</v>
      </c>
      <c r="AG49" s="155">
        <f t="shared" si="46"/>
        <v>72.033547151000008</v>
      </c>
      <c r="AH49" s="155">
        <f t="shared" si="47"/>
        <v>72.033547151000008</v>
      </c>
      <c r="AI49" s="155">
        <f t="shared" si="48"/>
        <v>36.016773575500004</v>
      </c>
      <c r="AJ49" s="155">
        <f t="shared" si="49"/>
        <v>36.016773575500004</v>
      </c>
      <c r="AK49" s="155">
        <f t="shared" si="50"/>
        <v>28.813418860400006</v>
      </c>
      <c r="AL49" s="155">
        <f t="shared" si="51"/>
        <v>72.033547151000008</v>
      </c>
      <c r="AM49" s="155">
        <f t="shared" si="75"/>
        <v>7.2033547151000015</v>
      </c>
      <c r="AN49" s="155">
        <f t="shared" si="52"/>
        <v>7.2033547151000015</v>
      </c>
      <c r="AO49" s="155">
        <f t="shared" si="53"/>
        <v>7.2033547151000015</v>
      </c>
      <c r="AP49" s="156">
        <f t="shared" si="54"/>
        <v>7203.3547151000021</v>
      </c>
      <c r="AQ49" s="142"/>
      <c r="AR49" s="143">
        <f t="shared" si="76"/>
        <v>5143552457.7242975</v>
      </c>
      <c r="AS49" s="144">
        <f t="shared" si="77"/>
        <v>773914142.94462824</v>
      </c>
      <c r="AT49" s="144">
        <f t="shared" si="78"/>
        <v>7442077462.269845</v>
      </c>
      <c r="AU49" s="144">
        <f t="shared" si="79"/>
        <v>1571641028.7490911</v>
      </c>
      <c r="AV49" s="144">
        <f t="shared" si="80"/>
        <v>235150835.74086779</v>
      </c>
      <c r="AW49" s="144">
        <f t="shared" si="81"/>
        <v>300635878.60541326</v>
      </c>
      <c r="AX49" s="144">
        <f t="shared" si="82"/>
        <v>160736014.3038843</v>
      </c>
      <c r="AY49" s="144">
        <f t="shared" si="83"/>
        <v>197943425.02237606</v>
      </c>
      <c r="AZ49" s="144">
        <f t="shared" si="84"/>
        <v>165403311.90441194</v>
      </c>
      <c r="BA49" s="144">
        <f t="shared" si="85"/>
        <v>431605964.33450419</v>
      </c>
      <c r="BB49" s="144">
        <f t="shared" si="59"/>
        <v>66378020.721789271</v>
      </c>
      <c r="BC49" s="144">
        <f t="shared" si="59"/>
        <v>56852923.577855378</v>
      </c>
      <c r="BD49" s="144">
        <f t="shared" si="59"/>
        <v>181274505.02049178</v>
      </c>
      <c r="BE49" s="145">
        <f t="shared" si="56"/>
        <v>16727165970.919458</v>
      </c>
      <c r="BF49" s="495">
        <f>SUM(BE49:BE72)</f>
        <v>54422949899.893333</v>
      </c>
      <c r="BG49" s="497" t="s">
        <v>97</v>
      </c>
      <c r="BH49" s="499">
        <v>50606132321</v>
      </c>
    </row>
    <row r="50" spans="2:60" s="74" customFormat="1" ht="12" x14ac:dyDescent="0.25">
      <c r="B50" s="196" t="s">
        <v>98</v>
      </c>
      <c r="C50" s="193"/>
      <c r="D50" s="194"/>
      <c r="E50" s="362">
        <v>300000</v>
      </c>
      <c r="F50" s="195">
        <f>F$49+$E50</f>
        <v>2700000</v>
      </c>
      <c r="G50" s="195">
        <f t="shared" ref="G50:R50" si="87">G$49+$E50</f>
        <v>2900000</v>
      </c>
      <c r="H50" s="195">
        <f t="shared" si="87"/>
        <v>3000000</v>
      </c>
      <c r="I50" s="195">
        <f t="shared" si="87"/>
        <v>3600000</v>
      </c>
      <c r="J50" s="195">
        <f t="shared" si="87"/>
        <v>4250000</v>
      </c>
      <c r="K50" s="195">
        <f t="shared" si="87"/>
        <v>5350000</v>
      </c>
      <c r="L50" s="195">
        <f t="shared" si="87"/>
        <v>5700000</v>
      </c>
      <c r="M50" s="195">
        <f t="shared" si="87"/>
        <v>6950000</v>
      </c>
      <c r="N50" s="195">
        <f t="shared" si="87"/>
        <v>7550000</v>
      </c>
      <c r="O50" s="195">
        <f t="shared" si="87"/>
        <v>7750000</v>
      </c>
      <c r="P50" s="195">
        <f t="shared" si="87"/>
        <v>11450000</v>
      </c>
      <c r="Q50" s="195">
        <f t="shared" si="87"/>
        <v>9850000</v>
      </c>
      <c r="R50" s="195">
        <f t="shared" si="87"/>
        <v>30750000</v>
      </c>
      <c r="S50" s="79"/>
      <c r="X50" s="493"/>
      <c r="Y50" s="152"/>
      <c r="Z50" s="494"/>
      <c r="AA50" s="494"/>
      <c r="AB50" s="475"/>
      <c r="AC50" s="154">
        <f t="shared" si="42"/>
        <v>0</v>
      </c>
      <c r="AD50" s="155">
        <f t="shared" si="43"/>
        <v>0</v>
      </c>
      <c r="AE50" s="155">
        <f t="shared" si="44"/>
        <v>0</v>
      </c>
      <c r="AF50" s="155">
        <f t="shared" si="45"/>
        <v>0</v>
      </c>
      <c r="AG50" s="155">
        <f t="shared" si="46"/>
        <v>0</v>
      </c>
      <c r="AH50" s="155">
        <f t="shared" si="47"/>
        <v>0</v>
      </c>
      <c r="AI50" s="155">
        <f t="shared" si="48"/>
        <v>0</v>
      </c>
      <c r="AJ50" s="155">
        <f t="shared" si="49"/>
        <v>0</v>
      </c>
      <c r="AK50" s="155">
        <f t="shared" si="50"/>
        <v>0</v>
      </c>
      <c r="AL50" s="155">
        <f t="shared" si="51"/>
        <v>0</v>
      </c>
      <c r="AM50" s="155">
        <f t="shared" si="75"/>
        <v>0</v>
      </c>
      <c r="AN50" s="155">
        <f t="shared" si="52"/>
        <v>0</v>
      </c>
      <c r="AO50" s="155">
        <f t="shared" si="53"/>
        <v>0</v>
      </c>
      <c r="AP50" s="156">
        <f t="shared" si="54"/>
        <v>0</v>
      </c>
      <c r="AQ50" s="142"/>
      <c r="AR50" s="143">
        <f t="shared" si="76"/>
        <v>0</v>
      </c>
      <c r="AS50" s="144">
        <f t="shared" si="77"/>
        <v>0</v>
      </c>
      <c r="AT50" s="144">
        <f t="shared" si="78"/>
        <v>0</v>
      </c>
      <c r="AU50" s="144">
        <f t="shared" si="79"/>
        <v>0</v>
      </c>
      <c r="AV50" s="144">
        <f t="shared" si="80"/>
        <v>0</v>
      </c>
      <c r="AW50" s="144">
        <f t="shared" si="81"/>
        <v>0</v>
      </c>
      <c r="AX50" s="144">
        <f t="shared" si="82"/>
        <v>0</v>
      </c>
      <c r="AY50" s="144">
        <f t="shared" si="83"/>
        <v>0</v>
      </c>
      <c r="AZ50" s="144">
        <f t="shared" si="84"/>
        <v>0</v>
      </c>
      <c r="BA50" s="144">
        <f t="shared" si="85"/>
        <v>0</v>
      </c>
      <c r="BB50" s="144">
        <f t="shared" si="59"/>
        <v>0</v>
      </c>
      <c r="BC50" s="144">
        <f t="shared" si="59"/>
        <v>0</v>
      </c>
      <c r="BD50" s="144">
        <f t="shared" si="59"/>
        <v>0</v>
      </c>
      <c r="BE50" s="145">
        <f t="shared" si="56"/>
        <v>0</v>
      </c>
      <c r="BF50" s="496"/>
      <c r="BG50" s="498"/>
      <c r="BH50" s="500"/>
    </row>
    <row r="51" spans="2:60" s="74" customFormat="1" ht="12" x14ac:dyDescent="0.25">
      <c r="B51" s="196" t="s">
        <v>99</v>
      </c>
      <c r="C51" s="193"/>
      <c r="D51" s="194"/>
      <c r="E51" s="362">
        <v>600000</v>
      </c>
      <c r="F51" s="195">
        <f t="shared" ref="F51:R52" si="88">F$49+$E51</f>
        <v>3000000</v>
      </c>
      <c r="G51" s="195">
        <f t="shared" si="88"/>
        <v>3200000</v>
      </c>
      <c r="H51" s="195">
        <f t="shared" si="88"/>
        <v>3300000</v>
      </c>
      <c r="I51" s="195">
        <f t="shared" si="88"/>
        <v>3900000</v>
      </c>
      <c r="J51" s="195">
        <f t="shared" si="88"/>
        <v>4550000</v>
      </c>
      <c r="K51" s="195">
        <f t="shared" si="88"/>
        <v>5650000</v>
      </c>
      <c r="L51" s="195">
        <f t="shared" si="88"/>
        <v>6000000</v>
      </c>
      <c r="M51" s="195">
        <f t="shared" si="88"/>
        <v>7250000</v>
      </c>
      <c r="N51" s="195">
        <f t="shared" si="88"/>
        <v>7850000</v>
      </c>
      <c r="O51" s="195">
        <f t="shared" si="88"/>
        <v>8050000</v>
      </c>
      <c r="P51" s="195">
        <f t="shared" si="88"/>
        <v>11750000</v>
      </c>
      <c r="Q51" s="195">
        <f t="shared" si="88"/>
        <v>10150000</v>
      </c>
      <c r="R51" s="195">
        <f t="shared" si="88"/>
        <v>31050000</v>
      </c>
      <c r="S51" s="79"/>
      <c r="X51" s="493"/>
      <c r="Y51" s="152"/>
      <c r="Z51" s="494"/>
      <c r="AA51" s="494"/>
      <c r="AB51" s="475"/>
      <c r="AC51" s="154">
        <f t="shared" si="42"/>
        <v>0</v>
      </c>
      <c r="AD51" s="155">
        <f t="shared" si="43"/>
        <v>0</v>
      </c>
      <c r="AE51" s="155">
        <f t="shared" si="44"/>
        <v>0</v>
      </c>
      <c r="AF51" s="155">
        <f t="shared" si="45"/>
        <v>0</v>
      </c>
      <c r="AG51" s="155">
        <f t="shared" si="46"/>
        <v>0</v>
      </c>
      <c r="AH51" s="155">
        <f t="shared" si="47"/>
        <v>0</v>
      </c>
      <c r="AI51" s="155">
        <f t="shared" si="48"/>
        <v>0</v>
      </c>
      <c r="AJ51" s="155">
        <f t="shared" si="49"/>
        <v>0</v>
      </c>
      <c r="AK51" s="155">
        <f t="shared" si="50"/>
        <v>0</v>
      </c>
      <c r="AL51" s="155">
        <f t="shared" si="51"/>
        <v>0</v>
      </c>
      <c r="AM51" s="155">
        <f t="shared" si="75"/>
        <v>0</v>
      </c>
      <c r="AN51" s="155">
        <f t="shared" si="52"/>
        <v>0</v>
      </c>
      <c r="AO51" s="155">
        <f t="shared" si="53"/>
        <v>0</v>
      </c>
      <c r="AP51" s="156">
        <f t="shared" si="54"/>
        <v>0</v>
      </c>
      <c r="AQ51" s="142"/>
      <c r="AR51" s="143">
        <f t="shared" si="76"/>
        <v>0</v>
      </c>
      <c r="AS51" s="144">
        <f t="shared" si="77"/>
        <v>0</v>
      </c>
      <c r="AT51" s="144">
        <f t="shared" si="78"/>
        <v>0</v>
      </c>
      <c r="AU51" s="144">
        <f t="shared" si="79"/>
        <v>0</v>
      </c>
      <c r="AV51" s="144">
        <f t="shared" si="80"/>
        <v>0</v>
      </c>
      <c r="AW51" s="144">
        <f t="shared" si="81"/>
        <v>0</v>
      </c>
      <c r="AX51" s="144">
        <f t="shared" si="82"/>
        <v>0</v>
      </c>
      <c r="AY51" s="144">
        <f t="shared" si="83"/>
        <v>0</v>
      </c>
      <c r="AZ51" s="144">
        <f>IF(AK51=0,0,((O51*AK51)-($Z$4*$Z$5*AK51)-AD44*AK51)/1.21)</f>
        <v>0</v>
      </c>
      <c r="BA51" s="144">
        <f t="shared" si="85"/>
        <v>0</v>
      </c>
      <c r="BB51" s="144">
        <f t="shared" si="59"/>
        <v>0</v>
      </c>
      <c r="BC51" s="144">
        <f t="shared" si="59"/>
        <v>0</v>
      </c>
      <c r="BD51" s="144">
        <f t="shared" si="59"/>
        <v>0</v>
      </c>
      <c r="BE51" s="145">
        <f t="shared" si="56"/>
        <v>0</v>
      </c>
      <c r="BF51" s="496"/>
      <c r="BG51" s="498"/>
      <c r="BH51" s="500"/>
    </row>
    <row r="52" spans="2:60" s="74" customFormat="1" ht="12" x14ac:dyDescent="0.25">
      <c r="B52" s="196" t="s">
        <v>100</v>
      </c>
      <c r="C52" s="193"/>
      <c r="D52" s="194"/>
      <c r="E52" s="362">
        <v>800000</v>
      </c>
      <c r="F52" s="195">
        <f t="shared" si="88"/>
        <v>3200000</v>
      </c>
      <c r="G52" s="195">
        <f t="shared" si="88"/>
        <v>3400000</v>
      </c>
      <c r="H52" s="195">
        <f t="shared" si="88"/>
        <v>3500000</v>
      </c>
      <c r="I52" s="195">
        <f t="shared" si="88"/>
        <v>4100000</v>
      </c>
      <c r="J52" s="195">
        <f t="shared" si="88"/>
        <v>4750000</v>
      </c>
      <c r="K52" s="195">
        <f t="shared" si="88"/>
        <v>5850000</v>
      </c>
      <c r="L52" s="195">
        <f t="shared" si="88"/>
        <v>6200000</v>
      </c>
      <c r="M52" s="195">
        <f t="shared" si="88"/>
        <v>7450000</v>
      </c>
      <c r="N52" s="195">
        <f t="shared" si="88"/>
        <v>8050000</v>
      </c>
      <c r="O52" s="195">
        <f t="shared" si="88"/>
        <v>8250000</v>
      </c>
      <c r="P52" s="195">
        <f t="shared" si="88"/>
        <v>11950000</v>
      </c>
      <c r="Q52" s="195">
        <f t="shared" si="88"/>
        <v>10350000</v>
      </c>
      <c r="R52" s="195">
        <f t="shared" si="88"/>
        <v>31250000</v>
      </c>
      <c r="S52" s="79"/>
      <c r="X52" s="493"/>
      <c r="Y52" s="152"/>
      <c r="Z52" s="494"/>
      <c r="AA52" s="494"/>
      <c r="AB52" s="475"/>
      <c r="AC52" s="154">
        <f t="shared" si="42"/>
        <v>0</v>
      </c>
      <c r="AD52" s="155">
        <f t="shared" si="43"/>
        <v>0</v>
      </c>
      <c r="AE52" s="155">
        <f t="shared" si="44"/>
        <v>0</v>
      </c>
      <c r="AF52" s="155">
        <f t="shared" si="45"/>
        <v>0</v>
      </c>
      <c r="AG52" s="155">
        <f t="shared" si="46"/>
        <v>0</v>
      </c>
      <c r="AH52" s="155">
        <f t="shared" si="47"/>
        <v>0</v>
      </c>
      <c r="AI52" s="155">
        <f t="shared" si="48"/>
        <v>0</v>
      </c>
      <c r="AJ52" s="155">
        <f t="shared" si="49"/>
        <v>0</v>
      </c>
      <c r="AK52" s="155">
        <f t="shared" si="50"/>
        <v>0</v>
      </c>
      <c r="AL52" s="155">
        <f t="shared" si="51"/>
        <v>0</v>
      </c>
      <c r="AM52" s="155">
        <f t="shared" si="75"/>
        <v>0</v>
      </c>
      <c r="AN52" s="155">
        <f t="shared" si="52"/>
        <v>0</v>
      </c>
      <c r="AO52" s="155">
        <f t="shared" si="53"/>
        <v>0</v>
      </c>
      <c r="AP52" s="156">
        <f t="shared" si="54"/>
        <v>0</v>
      </c>
      <c r="AQ52" s="142"/>
      <c r="AR52" s="143">
        <f t="shared" si="76"/>
        <v>0</v>
      </c>
      <c r="AS52" s="144">
        <f t="shared" si="77"/>
        <v>0</v>
      </c>
      <c r="AT52" s="144">
        <f t="shared" si="78"/>
        <v>0</v>
      </c>
      <c r="AU52" s="144">
        <f t="shared" si="79"/>
        <v>0</v>
      </c>
      <c r="AV52" s="144">
        <f t="shared" si="80"/>
        <v>0</v>
      </c>
      <c r="AW52" s="144">
        <f t="shared" si="81"/>
        <v>0</v>
      </c>
      <c r="AX52" s="144">
        <f t="shared" si="82"/>
        <v>0</v>
      </c>
      <c r="AY52" s="144">
        <f t="shared" si="83"/>
        <v>0</v>
      </c>
      <c r="AZ52" s="144">
        <f>IF(AK52=0,0,((O52*AK52)-($Z$4*$Z$5*AK52)-AD45*AK52)/1.21)</f>
        <v>0</v>
      </c>
      <c r="BA52" s="144">
        <f t="shared" si="85"/>
        <v>0</v>
      </c>
      <c r="BB52" s="144">
        <f t="shared" si="59"/>
        <v>0</v>
      </c>
      <c r="BC52" s="144">
        <f t="shared" si="59"/>
        <v>0</v>
      </c>
      <c r="BD52" s="144">
        <f t="shared" si="59"/>
        <v>0</v>
      </c>
      <c r="BE52" s="145">
        <f t="shared" si="56"/>
        <v>0</v>
      </c>
      <c r="BF52" s="496"/>
      <c r="BG52" s="498"/>
      <c r="BH52" s="500"/>
    </row>
    <row r="53" spans="2:60" s="74" customFormat="1" ht="12" x14ac:dyDescent="0.25">
      <c r="B53" s="192" t="s">
        <v>101</v>
      </c>
      <c r="C53" s="193"/>
      <c r="D53" s="194"/>
      <c r="E53" s="362"/>
      <c r="F53" s="195">
        <f>F49-50000</f>
        <v>2350000</v>
      </c>
      <c r="G53" s="195">
        <f t="shared" ref="G53:R53" si="89">G49-50000</f>
        <v>2550000</v>
      </c>
      <c r="H53" s="195">
        <f t="shared" si="89"/>
        <v>2650000</v>
      </c>
      <c r="I53" s="195">
        <f t="shared" si="89"/>
        <v>3250000</v>
      </c>
      <c r="J53" s="195">
        <f t="shared" si="89"/>
        <v>3900000</v>
      </c>
      <c r="K53" s="195">
        <f t="shared" si="89"/>
        <v>5000000</v>
      </c>
      <c r="L53" s="195">
        <f t="shared" si="89"/>
        <v>5350000</v>
      </c>
      <c r="M53" s="195">
        <f t="shared" si="89"/>
        <v>6600000</v>
      </c>
      <c r="N53" s="195">
        <f t="shared" si="89"/>
        <v>7200000</v>
      </c>
      <c r="O53" s="195">
        <f t="shared" si="89"/>
        <v>7400000</v>
      </c>
      <c r="P53" s="195">
        <f t="shared" si="89"/>
        <v>11100000</v>
      </c>
      <c r="Q53" s="195">
        <f t="shared" si="89"/>
        <v>9500000</v>
      </c>
      <c r="R53" s="195">
        <f t="shared" si="89"/>
        <v>30400000</v>
      </c>
      <c r="S53" s="79"/>
      <c r="X53" s="493"/>
      <c r="Y53" s="152"/>
      <c r="Z53" s="494"/>
      <c r="AA53" s="494"/>
      <c r="AB53" s="475"/>
      <c r="AC53" s="154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6"/>
      <c r="AQ53" s="142"/>
      <c r="AR53" s="143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5"/>
      <c r="BF53" s="496"/>
      <c r="BG53" s="498"/>
      <c r="BH53" s="500"/>
    </row>
    <row r="54" spans="2:60" s="74" customFormat="1" ht="12" x14ac:dyDescent="0.25">
      <c r="B54" s="196" t="s">
        <v>98</v>
      </c>
      <c r="C54" s="193"/>
      <c r="D54" s="194"/>
      <c r="E54" s="362">
        <v>300000</v>
      </c>
      <c r="F54" s="195">
        <f>F$53+$E54</f>
        <v>2650000</v>
      </c>
      <c r="G54" s="195">
        <f t="shared" ref="G54:R54" si="90">G$53+$E54</f>
        <v>2850000</v>
      </c>
      <c r="H54" s="195">
        <f t="shared" si="90"/>
        <v>2950000</v>
      </c>
      <c r="I54" s="195">
        <f t="shared" si="90"/>
        <v>3550000</v>
      </c>
      <c r="J54" s="195">
        <f t="shared" si="90"/>
        <v>4200000</v>
      </c>
      <c r="K54" s="195">
        <f t="shared" si="90"/>
        <v>5300000</v>
      </c>
      <c r="L54" s="195">
        <f t="shared" si="90"/>
        <v>5650000</v>
      </c>
      <c r="M54" s="195">
        <f t="shared" si="90"/>
        <v>6900000</v>
      </c>
      <c r="N54" s="195">
        <f t="shared" si="90"/>
        <v>7500000</v>
      </c>
      <c r="O54" s="195">
        <f t="shared" si="90"/>
        <v>7700000</v>
      </c>
      <c r="P54" s="195">
        <f t="shared" si="90"/>
        <v>11400000</v>
      </c>
      <c r="Q54" s="195">
        <f t="shared" si="90"/>
        <v>9800000</v>
      </c>
      <c r="R54" s="195">
        <f t="shared" si="90"/>
        <v>30700000</v>
      </c>
      <c r="S54" s="79"/>
      <c r="X54" s="493"/>
      <c r="Y54" s="152"/>
      <c r="Z54" s="494"/>
      <c r="AA54" s="494"/>
      <c r="AB54" s="475"/>
      <c r="AC54" s="154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6"/>
      <c r="AQ54" s="142"/>
      <c r="AR54" s="143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5"/>
      <c r="BF54" s="496"/>
      <c r="BG54" s="498"/>
      <c r="BH54" s="500"/>
    </row>
    <row r="55" spans="2:60" s="74" customFormat="1" ht="12" x14ac:dyDescent="0.25">
      <c r="B55" s="196" t="s">
        <v>99</v>
      </c>
      <c r="C55" s="193"/>
      <c r="D55" s="194"/>
      <c r="E55" s="362">
        <v>600000</v>
      </c>
      <c r="F55" s="195">
        <f t="shared" ref="F55:R56" si="91">F$53+$E55</f>
        <v>2950000</v>
      </c>
      <c r="G55" s="195">
        <f t="shared" si="91"/>
        <v>3150000</v>
      </c>
      <c r="H55" s="195">
        <f t="shared" si="91"/>
        <v>3250000</v>
      </c>
      <c r="I55" s="195">
        <f t="shared" si="91"/>
        <v>3850000</v>
      </c>
      <c r="J55" s="195">
        <f t="shared" si="91"/>
        <v>4500000</v>
      </c>
      <c r="K55" s="195">
        <f t="shared" si="91"/>
        <v>5600000</v>
      </c>
      <c r="L55" s="195">
        <f t="shared" si="91"/>
        <v>5950000</v>
      </c>
      <c r="M55" s="195">
        <f t="shared" si="91"/>
        <v>7200000</v>
      </c>
      <c r="N55" s="195">
        <f t="shared" si="91"/>
        <v>7800000</v>
      </c>
      <c r="O55" s="195">
        <f t="shared" si="91"/>
        <v>8000000</v>
      </c>
      <c r="P55" s="195">
        <f t="shared" si="91"/>
        <v>11700000</v>
      </c>
      <c r="Q55" s="195">
        <f t="shared" si="91"/>
        <v>10100000</v>
      </c>
      <c r="R55" s="195">
        <f t="shared" si="91"/>
        <v>31000000</v>
      </c>
      <c r="S55" s="79"/>
      <c r="X55" s="493"/>
      <c r="Y55" s="152"/>
      <c r="Z55" s="494"/>
      <c r="AA55" s="494"/>
      <c r="AB55" s="475"/>
      <c r="AC55" s="154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6"/>
      <c r="AQ55" s="142"/>
      <c r="AR55" s="143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5"/>
      <c r="BF55" s="496"/>
      <c r="BG55" s="498"/>
      <c r="BH55" s="500"/>
    </row>
    <row r="56" spans="2:60" s="74" customFormat="1" ht="12" x14ac:dyDescent="0.25">
      <c r="B56" s="196" t="s">
        <v>100</v>
      </c>
      <c r="C56" s="193"/>
      <c r="D56" s="194"/>
      <c r="E56" s="362">
        <v>800000</v>
      </c>
      <c r="F56" s="195">
        <f t="shared" si="91"/>
        <v>3150000</v>
      </c>
      <c r="G56" s="195">
        <f t="shared" si="91"/>
        <v>3350000</v>
      </c>
      <c r="H56" s="195">
        <f t="shared" si="91"/>
        <v>3450000</v>
      </c>
      <c r="I56" s="195">
        <f t="shared" si="91"/>
        <v>4050000</v>
      </c>
      <c r="J56" s="195">
        <f t="shared" si="91"/>
        <v>4700000</v>
      </c>
      <c r="K56" s="195">
        <f t="shared" si="91"/>
        <v>5800000</v>
      </c>
      <c r="L56" s="195">
        <f t="shared" si="91"/>
        <v>6150000</v>
      </c>
      <c r="M56" s="195">
        <f t="shared" si="91"/>
        <v>7400000</v>
      </c>
      <c r="N56" s="195">
        <f t="shared" si="91"/>
        <v>8000000</v>
      </c>
      <c r="O56" s="195">
        <f t="shared" si="91"/>
        <v>8200000</v>
      </c>
      <c r="P56" s="195">
        <f t="shared" si="91"/>
        <v>11900000</v>
      </c>
      <c r="Q56" s="195">
        <f t="shared" si="91"/>
        <v>10300000</v>
      </c>
      <c r="R56" s="195">
        <f t="shared" si="91"/>
        <v>31200000</v>
      </c>
      <c r="S56" s="79"/>
      <c r="X56" s="493"/>
      <c r="Y56" s="152"/>
      <c r="Z56" s="494"/>
      <c r="AA56" s="494"/>
      <c r="AB56" s="475"/>
      <c r="AC56" s="154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6"/>
      <c r="AQ56" s="142"/>
      <c r="AR56" s="143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5"/>
      <c r="BF56" s="496"/>
      <c r="BG56" s="498"/>
      <c r="BH56" s="500"/>
    </row>
    <row r="57" spans="2:60" s="74" customFormat="1" ht="12" x14ac:dyDescent="0.25">
      <c r="B57" s="192" t="s">
        <v>102</v>
      </c>
      <c r="C57" s="193"/>
      <c r="D57" s="194"/>
      <c r="E57" s="362"/>
      <c r="F57" s="195">
        <f>F61-300000</f>
        <v>2300000</v>
      </c>
      <c r="G57" s="195">
        <f t="shared" ref="G57:R57" si="92">G61-300000</f>
        <v>2500000</v>
      </c>
      <c r="H57" s="195">
        <f t="shared" si="92"/>
        <v>2600000</v>
      </c>
      <c r="I57" s="195">
        <f t="shared" si="92"/>
        <v>3200000</v>
      </c>
      <c r="J57" s="195">
        <f t="shared" si="92"/>
        <v>3850000</v>
      </c>
      <c r="K57" s="195">
        <f t="shared" si="92"/>
        <v>4950000</v>
      </c>
      <c r="L57" s="195">
        <f t="shared" si="92"/>
        <v>5300000</v>
      </c>
      <c r="M57" s="195">
        <f t="shared" si="92"/>
        <v>6550000</v>
      </c>
      <c r="N57" s="195">
        <f t="shared" si="92"/>
        <v>7150000</v>
      </c>
      <c r="O57" s="195">
        <f t="shared" si="92"/>
        <v>7350000</v>
      </c>
      <c r="P57" s="195">
        <f t="shared" si="92"/>
        <v>11050000</v>
      </c>
      <c r="Q57" s="195">
        <f t="shared" si="92"/>
        <v>9450000</v>
      </c>
      <c r="R57" s="195">
        <f t="shared" si="92"/>
        <v>30350000</v>
      </c>
      <c r="S57" s="79"/>
      <c r="X57" s="493"/>
      <c r="Y57" s="152">
        <v>0.04</v>
      </c>
      <c r="Z57" s="494"/>
      <c r="AA57" s="494"/>
      <c r="AB57" s="475"/>
      <c r="AC57" s="154">
        <f t="shared" si="42"/>
        <v>2074.5661579488001</v>
      </c>
      <c r="AD57" s="155">
        <f t="shared" si="43"/>
        <v>288.13418860400003</v>
      </c>
      <c r="AE57" s="155">
        <f t="shared" si="44"/>
        <v>2668.1225864730404</v>
      </c>
      <c r="AF57" s="155">
        <f t="shared" si="45"/>
        <v>461.01470176640004</v>
      </c>
      <c r="AG57" s="155">
        <f t="shared" si="46"/>
        <v>57.626837720800005</v>
      </c>
      <c r="AH57" s="155">
        <f t="shared" si="47"/>
        <v>57.626837720800005</v>
      </c>
      <c r="AI57" s="155">
        <f t="shared" si="48"/>
        <v>28.813418860400002</v>
      </c>
      <c r="AJ57" s="155">
        <f t="shared" si="49"/>
        <v>28.813418860400002</v>
      </c>
      <c r="AK57" s="155">
        <f t="shared" si="50"/>
        <v>23.050735088320003</v>
      </c>
      <c r="AL57" s="155">
        <f t="shared" si="51"/>
        <v>57.626837720800005</v>
      </c>
      <c r="AM57" s="155">
        <f t="shared" si="75"/>
        <v>5.7626837720800008</v>
      </c>
      <c r="AN57" s="155">
        <f t="shared" si="52"/>
        <v>5.7626837720800008</v>
      </c>
      <c r="AO57" s="155">
        <f t="shared" si="53"/>
        <v>5.7626837720800008</v>
      </c>
      <c r="AP57" s="156">
        <f t="shared" si="54"/>
        <v>5762.6837720799995</v>
      </c>
      <c r="AQ57" s="142"/>
      <c r="AR57" s="143">
        <f t="shared" si="76"/>
        <v>3943390217.5886283</v>
      </c>
      <c r="AS57" s="144">
        <f t="shared" si="77"/>
        <v>595318571.49586785</v>
      </c>
      <c r="AT57" s="144">
        <f t="shared" si="78"/>
        <v>5733155970.9338064</v>
      </c>
      <c r="AU57" s="144">
        <f t="shared" si="79"/>
        <v>1219212434.4235373</v>
      </c>
      <c r="AV57" s="144">
        <f t="shared" si="80"/>
        <v>183358120.02072728</v>
      </c>
      <c r="AW57" s="144">
        <f t="shared" si="81"/>
        <v>235746154.31236365</v>
      </c>
      <c r="AX57" s="144">
        <f t="shared" si="82"/>
        <v>126207537.15712398</v>
      </c>
      <c r="AY57" s="144">
        <f t="shared" si="83"/>
        <v>155973465.73191735</v>
      </c>
      <c r="AZ57" s="144">
        <f>IF(AK57=0,0,((O57*AK57)-($Z$4*$Z$5*AK57)-AD42*AK57)/1.21)</f>
        <v>130415297.26452635</v>
      </c>
      <c r="BA57" s="144">
        <f t="shared" si="85"/>
        <v>340522222.89563638</v>
      </c>
      <c r="BB57" s="144">
        <f t="shared" si="59"/>
        <v>52626161.720234714</v>
      </c>
      <c r="BC57" s="144">
        <f t="shared" si="59"/>
        <v>45006084.005087607</v>
      </c>
      <c r="BD57" s="144">
        <f t="shared" si="59"/>
        <v>144543349.1591967</v>
      </c>
      <c r="BE57" s="145">
        <f t="shared" si="56"/>
        <v>12905475586.708652</v>
      </c>
      <c r="BF57" s="496"/>
      <c r="BG57" s="498"/>
      <c r="BH57" s="500"/>
    </row>
    <row r="58" spans="2:60" s="74" customFormat="1" ht="12" x14ac:dyDescent="0.25">
      <c r="B58" s="196" t="s">
        <v>98</v>
      </c>
      <c r="C58" s="193"/>
      <c r="D58" s="194"/>
      <c r="E58" s="362">
        <v>300000</v>
      </c>
      <c r="F58" s="195">
        <f>F$57+$E58</f>
        <v>2600000</v>
      </c>
      <c r="G58" s="195">
        <f t="shared" ref="G58:R58" si="93">G$57+$E58</f>
        <v>2800000</v>
      </c>
      <c r="H58" s="195">
        <f t="shared" si="93"/>
        <v>2900000</v>
      </c>
      <c r="I58" s="195">
        <f t="shared" si="93"/>
        <v>3500000</v>
      </c>
      <c r="J58" s="195">
        <f t="shared" si="93"/>
        <v>4150000</v>
      </c>
      <c r="K58" s="195">
        <f t="shared" si="93"/>
        <v>5250000</v>
      </c>
      <c r="L58" s="195">
        <f t="shared" si="93"/>
        <v>5600000</v>
      </c>
      <c r="M58" s="195">
        <f t="shared" si="93"/>
        <v>6850000</v>
      </c>
      <c r="N58" s="195">
        <f t="shared" si="93"/>
        <v>7450000</v>
      </c>
      <c r="O58" s="195">
        <f t="shared" si="93"/>
        <v>7650000</v>
      </c>
      <c r="P58" s="195">
        <f t="shared" si="93"/>
        <v>11350000</v>
      </c>
      <c r="Q58" s="195">
        <f t="shared" si="93"/>
        <v>9750000</v>
      </c>
      <c r="R58" s="195">
        <f t="shared" si="93"/>
        <v>30650000</v>
      </c>
      <c r="S58" s="79"/>
      <c r="X58" s="493"/>
      <c r="Y58" s="152"/>
      <c r="Z58" s="494"/>
      <c r="AA58" s="494"/>
      <c r="AB58" s="475"/>
      <c r="AC58" s="154">
        <f t="shared" si="42"/>
        <v>0</v>
      </c>
      <c r="AD58" s="155">
        <f t="shared" si="43"/>
        <v>0</v>
      </c>
      <c r="AE58" s="155">
        <f t="shared" si="44"/>
        <v>0</v>
      </c>
      <c r="AF58" s="155">
        <f t="shared" si="45"/>
        <v>0</v>
      </c>
      <c r="AG58" s="155">
        <f t="shared" si="46"/>
        <v>0</v>
      </c>
      <c r="AH58" s="155">
        <f t="shared" si="47"/>
        <v>0</v>
      </c>
      <c r="AI58" s="155">
        <f t="shared" si="48"/>
        <v>0</v>
      </c>
      <c r="AJ58" s="155">
        <f t="shared" si="49"/>
        <v>0</v>
      </c>
      <c r="AK58" s="155">
        <f t="shared" si="50"/>
        <v>0</v>
      </c>
      <c r="AL58" s="155">
        <f t="shared" si="51"/>
        <v>0</v>
      </c>
      <c r="AM58" s="155">
        <f t="shared" si="75"/>
        <v>0</v>
      </c>
      <c r="AN58" s="155">
        <f t="shared" si="52"/>
        <v>0</v>
      </c>
      <c r="AO58" s="155">
        <f t="shared" si="53"/>
        <v>0</v>
      </c>
      <c r="AP58" s="156">
        <f t="shared" si="54"/>
        <v>0</v>
      </c>
      <c r="AQ58" s="142"/>
      <c r="AR58" s="143">
        <f t="shared" si="76"/>
        <v>0</v>
      </c>
      <c r="AS58" s="144">
        <f t="shared" si="77"/>
        <v>0</v>
      </c>
      <c r="AT58" s="144">
        <f t="shared" si="78"/>
        <v>0</v>
      </c>
      <c r="AU58" s="144">
        <f t="shared" si="79"/>
        <v>0</v>
      </c>
      <c r="AV58" s="144">
        <f t="shared" si="80"/>
        <v>0</v>
      </c>
      <c r="AW58" s="144">
        <f t="shared" si="81"/>
        <v>0</v>
      </c>
      <c r="AX58" s="144">
        <f t="shared" si="82"/>
        <v>0</v>
      </c>
      <c r="AY58" s="144">
        <f t="shared" si="83"/>
        <v>0</v>
      </c>
      <c r="AZ58" s="144">
        <f>IF(AK58=0,0,((O58*AK58)-($Z$4*$Z$5*AK58)-AD44*AK58)/1.21)</f>
        <v>0</v>
      </c>
      <c r="BA58" s="144">
        <f t="shared" si="85"/>
        <v>0</v>
      </c>
      <c r="BB58" s="144">
        <f t="shared" si="59"/>
        <v>0</v>
      </c>
      <c r="BC58" s="144">
        <f t="shared" si="59"/>
        <v>0</v>
      </c>
      <c r="BD58" s="144">
        <f t="shared" si="59"/>
        <v>0</v>
      </c>
      <c r="BE58" s="145">
        <f t="shared" si="56"/>
        <v>0</v>
      </c>
      <c r="BF58" s="496"/>
      <c r="BG58" s="498"/>
      <c r="BH58" s="500"/>
    </row>
    <row r="59" spans="2:60" s="74" customFormat="1" ht="12" x14ac:dyDescent="0.25">
      <c r="B59" s="196" t="s">
        <v>99</v>
      </c>
      <c r="C59" s="193"/>
      <c r="D59" s="194"/>
      <c r="E59" s="362">
        <v>600000</v>
      </c>
      <c r="F59" s="195">
        <f t="shared" ref="F59:R60" si="94">F$57+$E59</f>
        <v>2900000</v>
      </c>
      <c r="G59" s="195">
        <f t="shared" si="94"/>
        <v>3100000</v>
      </c>
      <c r="H59" s="195">
        <f t="shared" si="94"/>
        <v>3200000</v>
      </c>
      <c r="I59" s="195">
        <f t="shared" si="94"/>
        <v>3800000</v>
      </c>
      <c r="J59" s="195">
        <f t="shared" si="94"/>
        <v>4450000</v>
      </c>
      <c r="K59" s="195">
        <f t="shared" si="94"/>
        <v>5550000</v>
      </c>
      <c r="L59" s="195">
        <f t="shared" si="94"/>
        <v>5900000</v>
      </c>
      <c r="M59" s="195">
        <f t="shared" si="94"/>
        <v>7150000</v>
      </c>
      <c r="N59" s="195">
        <f t="shared" si="94"/>
        <v>7750000</v>
      </c>
      <c r="O59" s="195">
        <f t="shared" si="94"/>
        <v>7950000</v>
      </c>
      <c r="P59" s="195">
        <f t="shared" si="94"/>
        <v>11650000</v>
      </c>
      <c r="Q59" s="195">
        <f t="shared" si="94"/>
        <v>10050000</v>
      </c>
      <c r="R59" s="195">
        <f t="shared" si="94"/>
        <v>30950000</v>
      </c>
      <c r="S59" s="79"/>
      <c r="X59" s="493"/>
      <c r="Y59" s="152"/>
      <c r="Z59" s="494"/>
      <c r="AA59" s="494"/>
      <c r="AB59" s="475"/>
      <c r="AC59" s="154">
        <f t="shared" si="42"/>
        <v>0</v>
      </c>
      <c r="AD59" s="155">
        <f t="shared" si="43"/>
        <v>0</v>
      </c>
      <c r="AE59" s="155">
        <f t="shared" si="44"/>
        <v>0</v>
      </c>
      <c r="AF59" s="155">
        <f t="shared" si="45"/>
        <v>0</v>
      </c>
      <c r="AG59" s="155">
        <f t="shared" si="46"/>
        <v>0</v>
      </c>
      <c r="AH59" s="155">
        <f t="shared" si="47"/>
        <v>0</v>
      </c>
      <c r="AI59" s="155">
        <f t="shared" si="48"/>
        <v>0</v>
      </c>
      <c r="AJ59" s="155">
        <f t="shared" si="49"/>
        <v>0</v>
      </c>
      <c r="AK59" s="155">
        <f t="shared" si="50"/>
        <v>0</v>
      </c>
      <c r="AL59" s="155">
        <f t="shared" si="51"/>
        <v>0</v>
      </c>
      <c r="AM59" s="155">
        <f t="shared" si="75"/>
        <v>0</v>
      </c>
      <c r="AN59" s="155">
        <f t="shared" si="52"/>
        <v>0</v>
      </c>
      <c r="AO59" s="155">
        <f t="shared" si="53"/>
        <v>0</v>
      </c>
      <c r="AP59" s="156">
        <f t="shared" si="54"/>
        <v>0</v>
      </c>
      <c r="AQ59" s="142"/>
      <c r="AR59" s="143">
        <f t="shared" si="76"/>
        <v>0</v>
      </c>
      <c r="AS59" s="144">
        <f t="shared" si="77"/>
        <v>0</v>
      </c>
      <c r="AT59" s="144">
        <f t="shared" si="78"/>
        <v>0</v>
      </c>
      <c r="AU59" s="144">
        <f t="shared" si="79"/>
        <v>0</v>
      </c>
      <c r="AV59" s="144">
        <f t="shared" si="80"/>
        <v>0</v>
      </c>
      <c r="AW59" s="144">
        <f t="shared" si="81"/>
        <v>0</v>
      </c>
      <c r="AX59" s="144">
        <f t="shared" si="82"/>
        <v>0</v>
      </c>
      <c r="AY59" s="144">
        <f t="shared" si="83"/>
        <v>0</v>
      </c>
      <c r="AZ59" s="144">
        <f>IF(AK59=0,0,((O59*AK59)-($Z$4*$Z$5*AK59)-AD45*AK59)/1.21)</f>
        <v>0</v>
      </c>
      <c r="BA59" s="144">
        <f t="shared" si="85"/>
        <v>0</v>
      </c>
      <c r="BB59" s="144">
        <f t="shared" si="59"/>
        <v>0</v>
      </c>
      <c r="BC59" s="144">
        <f t="shared" si="59"/>
        <v>0</v>
      </c>
      <c r="BD59" s="144">
        <f t="shared" si="59"/>
        <v>0</v>
      </c>
      <c r="BE59" s="145">
        <f t="shared" si="56"/>
        <v>0</v>
      </c>
      <c r="BF59" s="496"/>
      <c r="BG59" s="498"/>
      <c r="BH59" s="500"/>
    </row>
    <row r="60" spans="2:60" s="74" customFormat="1" ht="12" x14ac:dyDescent="0.25">
      <c r="B60" s="196" t="s">
        <v>100</v>
      </c>
      <c r="C60" s="193"/>
      <c r="D60" s="194"/>
      <c r="E60" s="362">
        <v>800000</v>
      </c>
      <c r="F60" s="195">
        <f t="shared" si="94"/>
        <v>3100000</v>
      </c>
      <c r="G60" s="195">
        <f t="shared" si="94"/>
        <v>3300000</v>
      </c>
      <c r="H60" s="195">
        <f t="shared" si="94"/>
        <v>3400000</v>
      </c>
      <c r="I60" s="195">
        <f t="shared" si="94"/>
        <v>4000000</v>
      </c>
      <c r="J60" s="195">
        <f t="shared" si="94"/>
        <v>4650000</v>
      </c>
      <c r="K60" s="195">
        <f t="shared" si="94"/>
        <v>5750000</v>
      </c>
      <c r="L60" s="195">
        <f t="shared" si="94"/>
        <v>6100000</v>
      </c>
      <c r="M60" s="195">
        <f t="shared" si="94"/>
        <v>7350000</v>
      </c>
      <c r="N60" s="195">
        <f t="shared" si="94"/>
        <v>7950000</v>
      </c>
      <c r="O60" s="195">
        <f t="shared" si="94"/>
        <v>8150000</v>
      </c>
      <c r="P60" s="195">
        <f t="shared" si="94"/>
        <v>11850000</v>
      </c>
      <c r="Q60" s="195">
        <f t="shared" si="94"/>
        <v>10250000</v>
      </c>
      <c r="R60" s="195">
        <f t="shared" si="94"/>
        <v>31150000</v>
      </c>
      <c r="S60" s="79"/>
      <c r="X60" s="493"/>
      <c r="Y60" s="152"/>
      <c r="Z60" s="494"/>
      <c r="AA60" s="494"/>
      <c r="AB60" s="475"/>
      <c r="AC60" s="154">
        <f t="shared" si="42"/>
        <v>0</v>
      </c>
      <c r="AD60" s="155">
        <f t="shared" si="43"/>
        <v>0</v>
      </c>
      <c r="AE60" s="155">
        <f t="shared" si="44"/>
        <v>0</v>
      </c>
      <c r="AF60" s="155">
        <f t="shared" si="45"/>
        <v>0</v>
      </c>
      <c r="AG60" s="155">
        <f t="shared" si="46"/>
        <v>0</v>
      </c>
      <c r="AH60" s="155">
        <f t="shared" si="47"/>
        <v>0</v>
      </c>
      <c r="AI60" s="155">
        <f t="shared" si="48"/>
        <v>0</v>
      </c>
      <c r="AJ60" s="155">
        <f t="shared" si="49"/>
        <v>0</v>
      </c>
      <c r="AK60" s="155">
        <f t="shared" si="50"/>
        <v>0</v>
      </c>
      <c r="AL60" s="155">
        <f t="shared" si="51"/>
        <v>0</v>
      </c>
      <c r="AM60" s="155">
        <f t="shared" si="75"/>
        <v>0</v>
      </c>
      <c r="AN60" s="155">
        <f t="shared" si="52"/>
        <v>0</v>
      </c>
      <c r="AO60" s="155">
        <f t="shared" si="53"/>
        <v>0</v>
      </c>
      <c r="AP60" s="156">
        <f t="shared" si="54"/>
        <v>0</v>
      </c>
      <c r="AQ60" s="142"/>
      <c r="AR60" s="143">
        <f t="shared" si="76"/>
        <v>0</v>
      </c>
      <c r="AS60" s="144">
        <f t="shared" si="77"/>
        <v>0</v>
      </c>
      <c r="AT60" s="144">
        <f t="shared" si="78"/>
        <v>0</v>
      </c>
      <c r="AU60" s="144">
        <f t="shared" si="79"/>
        <v>0</v>
      </c>
      <c r="AV60" s="144">
        <f t="shared" si="80"/>
        <v>0</v>
      </c>
      <c r="AW60" s="144">
        <f t="shared" si="81"/>
        <v>0</v>
      </c>
      <c r="AX60" s="144">
        <f t="shared" si="82"/>
        <v>0</v>
      </c>
      <c r="AY60" s="144">
        <f t="shared" si="83"/>
        <v>0</v>
      </c>
      <c r="AZ60" s="144">
        <f>IF(AK60=0,0,((O60*AK60)-($Z$4*$Z$5*AK60)-AD46*AK60)/1.21)</f>
        <v>0</v>
      </c>
      <c r="BA60" s="144">
        <f t="shared" si="85"/>
        <v>0</v>
      </c>
      <c r="BB60" s="144">
        <f t="shared" si="59"/>
        <v>0</v>
      </c>
      <c r="BC60" s="144">
        <f t="shared" si="59"/>
        <v>0</v>
      </c>
      <c r="BD60" s="144">
        <f t="shared" si="59"/>
        <v>0</v>
      </c>
      <c r="BE60" s="145">
        <f t="shared" si="56"/>
        <v>0</v>
      </c>
      <c r="BF60" s="496"/>
      <c r="BG60" s="498"/>
      <c r="BH60" s="500"/>
    </row>
    <row r="61" spans="2:60" s="74" customFormat="1" ht="12" x14ac:dyDescent="0.25">
      <c r="B61" s="192" t="s">
        <v>103</v>
      </c>
      <c r="C61" s="193"/>
      <c r="D61" s="194"/>
      <c r="E61" s="363">
        <v>450000</v>
      </c>
      <c r="F61" s="195">
        <f t="shared" ref="F61:R61" si="95">F32+$E$61</f>
        <v>2600000</v>
      </c>
      <c r="G61" s="195">
        <f t="shared" si="95"/>
        <v>2800000</v>
      </c>
      <c r="H61" s="195">
        <f t="shared" si="95"/>
        <v>2900000</v>
      </c>
      <c r="I61" s="195">
        <f t="shared" si="95"/>
        <v>3500000</v>
      </c>
      <c r="J61" s="195">
        <f t="shared" si="95"/>
        <v>4150000</v>
      </c>
      <c r="K61" s="195">
        <f t="shared" si="95"/>
        <v>5250000</v>
      </c>
      <c r="L61" s="195">
        <f t="shared" si="95"/>
        <v>5600000</v>
      </c>
      <c r="M61" s="195">
        <f t="shared" si="95"/>
        <v>6850000</v>
      </c>
      <c r="N61" s="195">
        <f t="shared" si="95"/>
        <v>7450000</v>
      </c>
      <c r="O61" s="195">
        <f t="shared" si="95"/>
        <v>7650000</v>
      </c>
      <c r="P61" s="195">
        <f t="shared" si="95"/>
        <v>11350000</v>
      </c>
      <c r="Q61" s="195">
        <f t="shared" si="95"/>
        <v>9750000</v>
      </c>
      <c r="R61" s="195">
        <f t="shared" si="95"/>
        <v>30650000</v>
      </c>
      <c r="S61" s="79"/>
      <c r="T61" s="57"/>
      <c r="U61" s="58"/>
      <c r="V61" s="57"/>
      <c r="W61" s="57"/>
      <c r="X61" s="493"/>
      <c r="Y61" s="152">
        <v>0.04</v>
      </c>
      <c r="Z61" s="494"/>
      <c r="AA61" s="494"/>
      <c r="AB61" s="475"/>
      <c r="AC61" s="154">
        <f t="shared" si="42"/>
        <v>2074.5661579488001</v>
      </c>
      <c r="AD61" s="155">
        <f t="shared" si="43"/>
        <v>288.13418860400003</v>
      </c>
      <c r="AE61" s="155">
        <f t="shared" si="44"/>
        <v>2668.1225864730404</v>
      </c>
      <c r="AF61" s="155">
        <f t="shared" si="45"/>
        <v>461.01470176640004</v>
      </c>
      <c r="AG61" s="155">
        <f t="shared" si="46"/>
        <v>57.626837720800005</v>
      </c>
      <c r="AH61" s="155">
        <f t="shared" si="47"/>
        <v>57.626837720800005</v>
      </c>
      <c r="AI61" s="155">
        <f t="shared" si="48"/>
        <v>28.813418860400002</v>
      </c>
      <c r="AJ61" s="155">
        <f t="shared" si="49"/>
        <v>28.813418860400002</v>
      </c>
      <c r="AK61" s="155">
        <f t="shared" si="50"/>
        <v>23.050735088320003</v>
      </c>
      <c r="AL61" s="155">
        <f t="shared" si="51"/>
        <v>57.626837720800005</v>
      </c>
      <c r="AM61" s="155"/>
      <c r="AN61" s="155">
        <f t="shared" si="52"/>
        <v>5.7626837720800008</v>
      </c>
      <c r="AO61" s="155">
        <f t="shared" si="53"/>
        <v>5.7626837720800008</v>
      </c>
      <c r="AP61" s="156">
        <f t="shared" si="54"/>
        <v>5756.9210883079195</v>
      </c>
      <c r="AQ61" s="142"/>
      <c r="AR61" s="143">
        <f t="shared" si="76"/>
        <v>4457745463.3610582</v>
      </c>
      <c r="AS61" s="144">
        <f t="shared" si="77"/>
        <v>666756800.07537198</v>
      </c>
      <c r="AT61" s="144">
        <f t="shared" si="78"/>
        <v>6394673967.5800142</v>
      </c>
      <c r="AU61" s="144">
        <f t="shared" si="79"/>
        <v>1333513600.150744</v>
      </c>
      <c r="AV61" s="144">
        <f t="shared" si="80"/>
        <v>197645765.73662812</v>
      </c>
      <c r="AW61" s="144">
        <f t="shared" si="81"/>
        <v>250033800.02826449</v>
      </c>
      <c r="AX61" s="144">
        <f t="shared" si="82"/>
        <v>133351360.01507439</v>
      </c>
      <c r="AY61" s="144">
        <f t="shared" si="83"/>
        <v>163117288.58986777</v>
      </c>
      <c r="AZ61" s="144">
        <f>IF(AK61=0,0,((O61*AK61)-($Z$4*$Z$5*AK61)-AD48*AK61)/1.21)</f>
        <v>136132688.3811031</v>
      </c>
      <c r="BA61" s="144">
        <f t="shared" si="85"/>
        <v>354809868.61153722</v>
      </c>
      <c r="BB61" s="144">
        <f t="shared" si="59"/>
        <v>0</v>
      </c>
      <c r="BC61" s="144">
        <f t="shared" si="59"/>
        <v>46434848.576677695</v>
      </c>
      <c r="BD61" s="144">
        <f t="shared" si="59"/>
        <v>145972113.7307868</v>
      </c>
      <c r="BE61" s="145">
        <f t="shared" si="56"/>
        <v>14280187564.83713</v>
      </c>
      <c r="BF61" s="496"/>
      <c r="BG61" s="498"/>
      <c r="BH61" s="500"/>
    </row>
    <row r="62" spans="2:60" s="74" customFormat="1" ht="12" x14ac:dyDescent="0.25">
      <c r="B62" s="196" t="s">
        <v>98</v>
      </c>
      <c r="C62" s="193"/>
      <c r="D62" s="194"/>
      <c r="E62" s="362">
        <v>300000</v>
      </c>
      <c r="F62" s="195">
        <f>F$61+$E62</f>
        <v>2900000</v>
      </c>
      <c r="G62" s="195">
        <f t="shared" ref="G62:R62" si="96">G$61+$E62</f>
        <v>3100000</v>
      </c>
      <c r="H62" s="195">
        <f t="shared" si="96"/>
        <v>3200000</v>
      </c>
      <c r="I62" s="195">
        <f t="shared" si="96"/>
        <v>3800000</v>
      </c>
      <c r="J62" s="195">
        <f t="shared" si="96"/>
        <v>4450000</v>
      </c>
      <c r="K62" s="195">
        <f t="shared" si="96"/>
        <v>5550000</v>
      </c>
      <c r="L62" s="195">
        <f t="shared" si="96"/>
        <v>5900000</v>
      </c>
      <c r="M62" s="195">
        <f t="shared" si="96"/>
        <v>7150000</v>
      </c>
      <c r="N62" s="195">
        <f t="shared" si="96"/>
        <v>7750000</v>
      </c>
      <c r="O62" s="195">
        <f t="shared" si="96"/>
        <v>7950000</v>
      </c>
      <c r="P62" s="195">
        <f t="shared" si="96"/>
        <v>11650000</v>
      </c>
      <c r="Q62" s="195">
        <f t="shared" si="96"/>
        <v>10050000</v>
      </c>
      <c r="R62" s="195">
        <f t="shared" si="96"/>
        <v>30950000</v>
      </c>
      <c r="S62" s="79"/>
      <c r="T62" s="57"/>
      <c r="U62" s="58"/>
      <c r="V62" s="57"/>
      <c r="W62" s="57"/>
      <c r="X62" s="493"/>
      <c r="Y62" s="152"/>
      <c r="Z62" s="494"/>
      <c r="AA62" s="494"/>
      <c r="AB62" s="475"/>
      <c r="AC62" s="154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6"/>
      <c r="AQ62" s="142"/>
      <c r="AR62" s="143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5"/>
      <c r="BF62" s="496"/>
      <c r="BG62" s="498"/>
      <c r="BH62" s="500"/>
    </row>
    <row r="63" spans="2:60" s="74" customFormat="1" ht="12" x14ac:dyDescent="0.25">
      <c r="B63" s="196" t="s">
        <v>99</v>
      </c>
      <c r="C63" s="193"/>
      <c r="D63" s="194"/>
      <c r="E63" s="362">
        <v>600000</v>
      </c>
      <c r="F63" s="195">
        <f t="shared" ref="F63:R64" si="97">F$61+$E63</f>
        <v>3200000</v>
      </c>
      <c r="G63" s="195">
        <f t="shared" si="97"/>
        <v>3400000</v>
      </c>
      <c r="H63" s="195">
        <f t="shared" si="97"/>
        <v>3500000</v>
      </c>
      <c r="I63" s="195">
        <f t="shared" si="97"/>
        <v>4100000</v>
      </c>
      <c r="J63" s="195">
        <f t="shared" si="97"/>
        <v>4750000</v>
      </c>
      <c r="K63" s="195">
        <f t="shared" si="97"/>
        <v>5850000</v>
      </c>
      <c r="L63" s="195">
        <f t="shared" si="97"/>
        <v>6200000</v>
      </c>
      <c r="M63" s="195">
        <f t="shared" si="97"/>
        <v>7450000</v>
      </c>
      <c r="N63" s="195">
        <f t="shared" si="97"/>
        <v>8050000</v>
      </c>
      <c r="O63" s="195">
        <f t="shared" si="97"/>
        <v>8250000</v>
      </c>
      <c r="P63" s="195">
        <f t="shared" si="97"/>
        <v>11950000</v>
      </c>
      <c r="Q63" s="195">
        <f t="shared" si="97"/>
        <v>10350000</v>
      </c>
      <c r="R63" s="195">
        <f t="shared" si="97"/>
        <v>31250000</v>
      </c>
      <c r="S63" s="79"/>
      <c r="T63" s="57"/>
      <c r="U63" s="58"/>
      <c r="V63" s="57"/>
      <c r="W63" s="57"/>
      <c r="X63" s="493"/>
      <c r="Y63" s="152"/>
      <c r="Z63" s="494"/>
      <c r="AA63" s="494"/>
      <c r="AB63" s="475"/>
      <c r="AC63" s="154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6"/>
      <c r="AQ63" s="142"/>
      <c r="AR63" s="143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5"/>
      <c r="BF63" s="496"/>
      <c r="BG63" s="498"/>
      <c r="BH63" s="500"/>
    </row>
    <row r="64" spans="2:60" s="74" customFormat="1" ht="12" x14ac:dyDescent="0.25">
      <c r="B64" s="196" t="s">
        <v>100</v>
      </c>
      <c r="C64" s="193"/>
      <c r="D64" s="194"/>
      <c r="E64" s="362">
        <v>800000</v>
      </c>
      <c r="F64" s="195">
        <f t="shared" si="97"/>
        <v>3400000</v>
      </c>
      <c r="G64" s="195">
        <f t="shared" si="97"/>
        <v>3600000</v>
      </c>
      <c r="H64" s="195">
        <f t="shared" si="97"/>
        <v>3700000</v>
      </c>
      <c r="I64" s="195">
        <f t="shared" si="97"/>
        <v>4300000</v>
      </c>
      <c r="J64" s="195">
        <f t="shared" si="97"/>
        <v>4950000</v>
      </c>
      <c r="K64" s="195">
        <f t="shared" si="97"/>
        <v>6050000</v>
      </c>
      <c r="L64" s="195">
        <f t="shared" si="97"/>
        <v>6400000</v>
      </c>
      <c r="M64" s="195">
        <f t="shared" si="97"/>
        <v>7650000</v>
      </c>
      <c r="N64" s="195">
        <f t="shared" si="97"/>
        <v>8250000</v>
      </c>
      <c r="O64" s="195">
        <f t="shared" si="97"/>
        <v>8450000</v>
      </c>
      <c r="P64" s="195">
        <f t="shared" si="97"/>
        <v>12150000</v>
      </c>
      <c r="Q64" s="195">
        <f t="shared" si="97"/>
        <v>10550000</v>
      </c>
      <c r="R64" s="195">
        <f t="shared" si="97"/>
        <v>31450000</v>
      </c>
      <c r="S64" s="79"/>
      <c r="T64" s="57"/>
      <c r="U64" s="58"/>
      <c r="V64" s="57"/>
      <c r="W64" s="57"/>
      <c r="X64" s="493"/>
      <c r="Y64" s="152"/>
      <c r="Z64" s="494"/>
      <c r="AA64" s="494"/>
      <c r="AB64" s="475"/>
      <c r="AC64" s="154">
        <f t="shared" si="42"/>
        <v>0</v>
      </c>
      <c r="AD64" s="155">
        <f t="shared" si="43"/>
        <v>0</v>
      </c>
      <c r="AE64" s="155">
        <f t="shared" si="44"/>
        <v>0</v>
      </c>
      <c r="AF64" s="155">
        <f t="shared" si="45"/>
        <v>0</v>
      </c>
      <c r="AG64" s="155">
        <f t="shared" si="46"/>
        <v>0</v>
      </c>
      <c r="AH64" s="155">
        <f t="shared" si="47"/>
        <v>0</v>
      </c>
      <c r="AI64" s="155">
        <f t="shared" si="48"/>
        <v>0</v>
      </c>
      <c r="AJ64" s="155">
        <f t="shared" si="49"/>
        <v>0</v>
      </c>
      <c r="AK64" s="155">
        <f t="shared" si="50"/>
        <v>0</v>
      </c>
      <c r="AL64" s="155">
        <f t="shared" si="51"/>
        <v>0</v>
      </c>
      <c r="AM64" s="155"/>
      <c r="AN64" s="155">
        <f t="shared" si="52"/>
        <v>0</v>
      </c>
      <c r="AO64" s="155">
        <f t="shared" si="53"/>
        <v>0</v>
      </c>
      <c r="AP64" s="156">
        <f t="shared" si="54"/>
        <v>0</v>
      </c>
      <c r="AQ64" s="142"/>
      <c r="AR64" s="143">
        <f t="shared" si="76"/>
        <v>0</v>
      </c>
      <c r="AS64" s="144">
        <f t="shared" si="77"/>
        <v>0</v>
      </c>
      <c r="AT64" s="144">
        <f t="shared" si="78"/>
        <v>0</v>
      </c>
      <c r="AU64" s="144">
        <f t="shared" si="79"/>
        <v>0</v>
      </c>
      <c r="AV64" s="144">
        <f t="shared" si="80"/>
        <v>0</v>
      </c>
      <c r="AW64" s="144">
        <f t="shared" si="81"/>
        <v>0</v>
      </c>
      <c r="AX64" s="144">
        <f t="shared" si="82"/>
        <v>0</v>
      </c>
      <c r="AY64" s="144">
        <f t="shared" si="83"/>
        <v>0</v>
      </c>
      <c r="AZ64" s="144">
        <f>IF(AK64=0,0,((O64*AK64)-($Z$4*$Z$5*AK64)-AD49*AK64)/1.21)</f>
        <v>0</v>
      </c>
      <c r="BA64" s="144">
        <f t="shared" si="85"/>
        <v>0</v>
      </c>
      <c r="BB64" s="144">
        <f t="shared" ref="BB64:BB85" si="98">IF(AM64=0,0,((P64*AM64)-($Y$4*$Y$5*AM64)-AI$7*AM64)/1.21)</f>
        <v>0</v>
      </c>
      <c r="BC64" s="144">
        <f t="shared" ref="BC64:BC85" si="99">IF(AN64=0,0,((Q64*AN64)-($Y$4*$Y$5*AN64)-AJ$7*AN64)/1.21)</f>
        <v>0</v>
      </c>
      <c r="BD64" s="144">
        <f t="shared" ref="BD64:BD85" si="100">IF(AO64=0,0,((R64*AO64)-($Y$4*$Y$5*AO64)-AK$7*AO64)/1.21)</f>
        <v>0</v>
      </c>
      <c r="BE64" s="145">
        <f t="shared" si="56"/>
        <v>0</v>
      </c>
      <c r="BF64" s="496"/>
      <c r="BG64" s="498"/>
      <c r="BH64" s="500"/>
    </row>
    <row r="65" spans="1:61" s="74" customFormat="1" ht="12" x14ac:dyDescent="0.25">
      <c r="B65" s="192" t="s">
        <v>104</v>
      </c>
      <c r="C65" s="193"/>
      <c r="D65" s="194"/>
      <c r="E65" s="363"/>
      <c r="F65" s="195">
        <f>F61-50000</f>
        <v>2550000</v>
      </c>
      <c r="G65" s="195">
        <f t="shared" ref="G65:R65" si="101">G61-50000</f>
        <v>2750000</v>
      </c>
      <c r="H65" s="195">
        <f t="shared" si="101"/>
        <v>2850000</v>
      </c>
      <c r="I65" s="195">
        <f t="shared" si="101"/>
        <v>3450000</v>
      </c>
      <c r="J65" s="195">
        <f t="shared" si="101"/>
        <v>4100000</v>
      </c>
      <c r="K65" s="195">
        <f t="shared" si="101"/>
        <v>5200000</v>
      </c>
      <c r="L65" s="195">
        <f t="shared" si="101"/>
        <v>5550000</v>
      </c>
      <c r="M65" s="195">
        <f t="shared" si="101"/>
        <v>6800000</v>
      </c>
      <c r="N65" s="195">
        <f t="shared" si="101"/>
        <v>7400000</v>
      </c>
      <c r="O65" s="195">
        <f t="shared" si="101"/>
        <v>7600000</v>
      </c>
      <c r="P65" s="195">
        <f t="shared" si="101"/>
        <v>11300000</v>
      </c>
      <c r="Q65" s="195">
        <f t="shared" si="101"/>
        <v>9700000</v>
      </c>
      <c r="R65" s="195">
        <f t="shared" si="101"/>
        <v>30600000</v>
      </c>
      <c r="S65" s="79"/>
      <c r="T65" s="57"/>
      <c r="U65" s="58"/>
      <c r="V65" s="57"/>
      <c r="W65" s="57"/>
      <c r="X65" s="493"/>
      <c r="Y65" s="152">
        <v>0.03</v>
      </c>
      <c r="Z65" s="494"/>
      <c r="AA65" s="494"/>
      <c r="AB65" s="475"/>
      <c r="AC65" s="154">
        <f t="shared" si="42"/>
        <v>1555.9246184615999</v>
      </c>
      <c r="AD65" s="155">
        <f t="shared" si="43"/>
        <v>216.10064145300004</v>
      </c>
      <c r="AE65" s="155">
        <f t="shared" si="44"/>
        <v>2001.0919398547801</v>
      </c>
      <c r="AF65" s="155">
        <f t="shared" si="45"/>
        <v>345.76102632480001</v>
      </c>
      <c r="AG65" s="155">
        <f t="shared" si="46"/>
        <v>43.220128290600002</v>
      </c>
      <c r="AH65" s="155">
        <f t="shared" si="47"/>
        <v>43.220128290600002</v>
      </c>
      <c r="AI65" s="155">
        <f t="shared" si="48"/>
        <v>21.610064145300001</v>
      </c>
      <c r="AJ65" s="155">
        <f t="shared" si="49"/>
        <v>21.610064145300001</v>
      </c>
      <c r="AK65" s="155">
        <f t="shared" si="50"/>
        <v>17.288051316240001</v>
      </c>
      <c r="AL65" s="155">
        <f t="shared" si="51"/>
        <v>43.220128290600002</v>
      </c>
      <c r="AM65" s="155"/>
      <c r="AN65" s="155">
        <f t="shared" si="52"/>
        <v>4.3220128290600002</v>
      </c>
      <c r="AO65" s="155">
        <f t="shared" si="53"/>
        <v>4.3220128290600002</v>
      </c>
      <c r="AP65" s="156">
        <f t="shared" si="54"/>
        <v>4317.690816230941</v>
      </c>
      <c r="AQ65" s="142"/>
      <c r="AR65" s="143">
        <f t="shared" si="76"/>
        <v>3279014691.7992396</v>
      </c>
      <c r="AS65" s="144">
        <f t="shared" si="77"/>
        <v>491137821.48409098</v>
      </c>
      <c r="AT65" s="144">
        <f t="shared" si="78"/>
        <v>4713315726.1042347</v>
      </c>
      <c r="AU65" s="144">
        <f t="shared" si="79"/>
        <v>985847554.39715707</v>
      </c>
      <c r="AV65" s="144">
        <f t="shared" si="80"/>
        <v>146448368.58798346</v>
      </c>
      <c r="AW65" s="144">
        <f t="shared" si="81"/>
        <v>185739394.30671075</v>
      </c>
      <c r="AX65" s="144">
        <f t="shared" si="82"/>
        <v>99120542.154061988</v>
      </c>
      <c r="AY65" s="144">
        <f t="shared" si="83"/>
        <v>121444988.58515704</v>
      </c>
      <c r="AZ65" s="144">
        <f>IF(AK65=0,0,((O65*AK65)-($Z$4*$Z$5*AK65)-AD50*AK65)/1.21)</f>
        <v>101385134.00003228</v>
      </c>
      <c r="BA65" s="144">
        <f t="shared" si="85"/>
        <v>264321445.74416533</v>
      </c>
      <c r="BB65" s="144">
        <f t="shared" si="98"/>
        <v>0</v>
      </c>
      <c r="BC65" s="144">
        <f t="shared" si="99"/>
        <v>34647540.861059502</v>
      </c>
      <c r="BD65" s="144">
        <f t="shared" si="100"/>
        <v>109300489.72664133</v>
      </c>
      <c r="BE65" s="145">
        <f t="shared" si="56"/>
        <v>10531723697.750536</v>
      </c>
      <c r="BF65" s="496"/>
      <c r="BG65" s="498"/>
      <c r="BH65" s="500"/>
    </row>
    <row r="66" spans="1:61" s="74" customFormat="1" ht="12" x14ac:dyDescent="0.25">
      <c r="B66" s="196" t="s">
        <v>98</v>
      </c>
      <c r="C66" s="193"/>
      <c r="D66" s="194"/>
      <c r="E66" s="362">
        <v>300000</v>
      </c>
      <c r="F66" s="195">
        <f>F$65+$E66</f>
        <v>2850000</v>
      </c>
      <c r="G66" s="195">
        <f t="shared" ref="G66:R66" si="102">G$65+$E66</f>
        <v>3050000</v>
      </c>
      <c r="H66" s="195">
        <f t="shared" si="102"/>
        <v>3150000</v>
      </c>
      <c r="I66" s="195">
        <f t="shared" si="102"/>
        <v>3750000</v>
      </c>
      <c r="J66" s="195">
        <f t="shared" si="102"/>
        <v>4400000</v>
      </c>
      <c r="K66" s="195">
        <f t="shared" si="102"/>
        <v>5500000</v>
      </c>
      <c r="L66" s="195">
        <f t="shared" si="102"/>
        <v>5850000</v>
      </c>
      <c r="M66" s="195">
        <f t="shared" si="102"/>
        <v>7100000</v>
      </c>
      <c r="N66" s="195">
        <f t="shared" si="102"/>
        <v>7700000</v>
      </c>
      <c r="O66" s="195">
        <f t="shared" si="102"/>
        <v>7900000</v>
      </c>
      <c r="P66" s="195">
        <f t="shared" si="102"/>
        <v>11600000</v>
      </c>
      <c r="Q66" s="195">
        <f t="shared" si="102"/>
        <v>10000000</v>
      </c>
      <c r="R66" s="195">
        <f t="shared" si="102"/>
        <v>30900000</v>
      </c>
      <c r="S66" s="79"/>
      <c r="T66" s="57"/>
      <c r="U66" s="58"/>
      <c r="V66" s="57"/>
      <c r="W66" s="57"/>
      <c r="X66" s="493"/>
      <c r="Y66" s="152"/>
      <c r="Z66" s="494"/>
      <c r="AA66" s="494"/>
      <c r="AB66" s="475"/>
      <c r="AC66" s="154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6"/>
      <c r="AQ66" s="142"/>
      <c r="AR66" s="143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5"/>
      <c r="BF66" s="496"/>
      <c r="BG66" s="498"/>
      <c r="BH66" s="500"/>
    </row>
    <row r="67" spans="1:61" s="74" customFormat="1" ht="12" x14ac:dyDescent="0.25">
      <c r="B67" s="196" t="s">
        <v>99</v>
      </c>
      <c r="C67" s="193"/>
      <c r="D67" s="194"/>
      <c r="E67" s="362">
        <v>600000</v>
      </c>
      <c r="F67" s="195">
        <f t="shared" ref="F67:R68" si="103">F$65+$E67</f>
        <v>3150000</v>
      </c>
      <c r="G67" s="195">
        <f t="shared" si="103"/>
        <v>3350000</v>
      </c>
      <c r="H67" s="195">
        <f t="shared" si="103"/>
        <v>3450000</v>
      </c>
      <c r="I67" s="195">
        <f t="shared" si="103"/>
        <v>4050000</v>
      </c>
      <c r="J67" s="195">
        <f t="shared" si="103"/>
        <v>4700000</v>
      </c>
      <c r="K67" s="195">
        <f t="shared" si="103"/>
        <v>5800000</v>
      </c>
      <c r="L67" s="195">
        <f t="shared" si="103"/>
        <v>6150000</v>
      </c>
      <c r="M67" s="195">
        <f t="shared" si="103"/>
        <v>7400000</v>
      </c>
      <c r="N67" s="195">
        <f t="shared" si="103"/>
        <v>8000000</v>
      </c>
      <c r="O67" s="195">
        <f t="shared" si="103"/>
        <v>8200000</v>
      </c>
      <c r="P67" s="195">
        <f t="shared" si="103"/>
        <v>11900000</v>
      </c>
      <c r="Q67" s="195">
        <f t="shared" si="103"/>
        <v>10300000</v>
      </c>
      <c r="R67" s="195">
        <f t="shared" si="103"/>
        <v>31200000</v>
      </c>
      <c r="S67" s="79"/>
      <c r="T67" s="57"/>
      <c r="U67" s="58"/>
      <c r="V67" s="57"/>
      <c r="W67" s="57"/>
      <c r="X67" s="493"/>
      <c r="Y67" s="152"/>
      <c r="Z67" s="494"/>
      <c r="AA67" s="494"/>
      <c r="AB67" s="475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6"/>
      <c r="AQ67" s="142"/>
      <c r="AR67" s="143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5"/>
      <c r="BF67" s="496"/>
      <c r="BG67" s="498"/>
      <c r="BH67" s="500"/>
    </row>
    <row r="68" spans="1:61" s="74" customFormat="1" ht="12" x14ac:dyDescent="0.25">
      <c r="B68" s="196" t="s">
        <v>100</v>
      </c>
      <c r="C68" s="193"/>
      <c r="D68" s="194"/>
      <c r="E68" s="362">
        <v>800000</v>
      </c>
      <c r="F68" s="195">
        <f t="shared" si="103"/>
        <v>3350000</v>
      </c>
      <c r="G68" s="195">
        <f t="shared" si="103"/>
        <v>3550000</v>
      </c>
      <c r="H68" s="195">
        <f t="shared" si="103"/>
        <v>3650000</v>
      </c>
      <c r="I68" s="195">
        <f t="shared" si="103"/>
        <v>4250000</v>
      </c>
      <c r="J68" s="195">
        <f t="shared" si="103"/>
        <v>4900000</v>
      </c>
      <c r="K68" s="195">
        <f t="shared" si="103"/>
        <v>6000000</v>
      </c>
      <c r="L68" s="195">
        <f t="shared" si="103"/>
        <v>6350000</v>
      </c>
      <c r="M68" s="195">
        <f t="shared" si="103"/>
        <v>7600000</v>
      </c>
      <c r="N68" s="195">
        <f t="shared" si="103"/>
        <v>8200000</v>
      </c>
      <c r="O68" s="195">
        <f t="shared" si="103"/>
        <v>8400000</v>
      </c>
      <c r="P68" s="195">
        <f t="shared" si="103"/>
        <v>12100000</v>
      </c>
      <c r="Q68" s="195">
        <f t="shared" si="103"/>
        <v>10500000</v>
      </c>
      <c r="R68" s="195">
        <f t="shared" si="103"/>
        <v>31400000</v>
      </c>
      <c r="S68" s="79"/>
      <c r="T68" s="57"/>
      <c r="U68" s="58"/>
      <c r="V68" s="57"/>
      <c r="W68" s="57"/>
      <c r="X68" s="493"/>
      <c r="Y68" s="152"/>
      <c r="Z68" s="494"/>
      <c r="AA68" s="494"/>
      <c r="AB68" s="475"/>
      <c r="AC68" s="154">
        <f t="shared" si="42"/>
        <v>0</v>
      </c>
      <c r="AD68" s="155">
        <f t="shared" si="43"/>
        <v>0</v>
      </c>
      <c r="AE68" s="155">
        <f t="shared" si="44"/>
        <v>0</v>
      </c>
      <c r="AF68" s="155">
        <f t="shared" si="45"/>
        <v>0</v>
      </c>
      <c r="AG68" s="155">
        <f t="shared" si="46"/>
        <v>0</v>
      </c>
      <c r="AH68" s="155">
        <f t="shared" si="47"/>
        <v>0</v>
      </c>
      <c r="AI68" s="155">
        <f t="shared" si="48"/>
        <v>0</v>
      </c>
      <c r="AJ68" s="155">
        <f t="shared" si="49"/>
        <v>0</v>
      </c>
      <c r="AK68" s="155">
        <f t="shared" si="50"/>
        <v>0</v>
      </c>
      <c r="AL68" s="155">
        <f t="shared" si="51"/>
        <v>0</v>
      </c>
      <c r="AM68" s="155"/>
      <c r="AN68" s="155">
        <f t="shared" si="52"/>
        <v>0</v>
      </c>
      <c r="AO68" s="155">
        <f t="shared" si="53"/>
        <v>0</v>
      </c>
      <c r="AP68" s="156">
        <f t="shared" si="54"/>
        <v>0</v>
      </c>
      <c r="AQ68" s="142"/>
      <c r="AR68" s="143">
        <f t="shared" si="76"/>
        <v>0</v>
      </c>
      <c r="AS68" s="144">
        <f t="shared" si="77"/>
        <v>0</v>
      </c>
      <c r="AT68" s="144">
        <f t="shared" si="78"/>
        <v>0</v>
      </c>
      <c r="AU68" s="144">
        <f t="shared" si="79"/>
        <v>0</v>
      </c>
      <c r="AV68" s="144">
        <f t="shared" si="80"/>
        <v>0</v>
      </c>
      <c r="AW68" s="144">
        <f t="shared" si="81"/>
        <v>0</v>
      </c>
      <c r="AX68" s="144">
        <f t="shared" si="82"/>
        <v>0</v>
      </c>
      <c r="AY68" s="144">
        <f t="shared" si="83"/>
        <v>0</v>
      </c>
      <c r="AZ68" s="144">
        <f>IF(AK68=0,0,((O68*AK68)-($Z$4*$Z$5*AK68)-AD51*AK68)/1.21)</f>
        <v>0</v>
      </c>
      <c r="BA68" s="144">
        <f t="shared" si="85"/>
        <v>0</v>
      </c>
      <c r="BB68" s="144">
        <f t="shared" si="98"/>
        <v>0</v>
      </c>
      <c r="BC68" s="144">
        <f t="shared" si="99"/>
        <v>0</v>
      </c>
      <c r="BD68" s="144">
        <f t="shared" si="100"/>
        <v>0</v>
      </c>
      <c r="BE68" s="145">
        <f t="shared" si="56"/>
        <v>0</v>
      </c>
      <c r="BF68" s="496"/>
      <c r="BG68" s="498"/>
      <c r="BH68" s="500"/>
    </row>
    <row r="69" spans="1:61" s="74" customFormat="1" ht="12" x14ac:dyDescent="0.25">
      <c r="B69" s="192" t="s">
        <v>105</v>
      </c>
      <c r="C69" s="193"/>
      <c r="D69" s="194"/>
      <c r="E69" s="362"/>
      <c r="F69" s="195"/>
      <c r="G69" s="195"/>
      <c r="H69" s="195"/>
      <c r="I69" s="195"/>
      <c r="J69" s="197"/>
      <c r="K69" s="197"/>
      <c r="L69" s="197"/>
      <c r="M69" s="197"/>
      <c r="N69" s="197"/>
      <c r="O69" s="197"/>
      <c r="P69" s="197"/>
      <c r="Q69" s="197"/>
      <c r="R69" s="197"/>
      <c r="S69" s="79"/>
      <c r="T69" s="57"/>
      <c r="U69" s="58"/>
      <c r="V69" s="57"/>
      <c r="W69" s="57"/>
      <c r="X69" s="493"/>
      <c r="Y69" s="152">
        <v>0.09</v>
      </c>
      <c r="Z69" s="494"/>
      <c r="AA69" s="494"/>
      <c r="AB69" s="475"/>
      <c r="AC69" s="154">
        <f t="shared" si="42"/>
        <v>4667.7738553847994</v>
      </c>
      <c r="AD69" s="155">
        <f t="shared" si="43"/>
        <v>648.30192435900005</v>
      </c>
      <c r="AE69" s="155">
        <f t="shared" si="44"/>
        <v>6003.2758195643401</v>
      </c>
      <c r="AF69" s="155">
        <f t="shared" si="45"/>
        <v>1037.2830789744</v>
      </c>
      <c r="AG69" s="155">
        <f t="shared" si="46"/>
        <v>129.66038487180001</v>
      </c>
      <c r="AH69" s="155">
        <f t="shared" si="47"/>
        <v>129.66038487180001</v>
      </c>
      <c r="AI69" s="155">
        <f t="shared" si="48"/>
        <v>64.830192435900003</v>
      </c>
      <c r="AJ69" s="155">
        <f t="shared" si="49"/>
        <v>64.830192435900003</v>
      </c>
      <c r="AK69" s="155">
        <f t="shared" si="50"/>
        <v>51.864153948720002</v>
      </c>
      <c r="AL69" s="155">
        <f t="shared" si="51"/>
        <v>129.66038487180001</v>
      </c>
      <c r="AM69" s="155"/>
      <c r="AN69" s="155">
        <f t="shared" si="52"/>
        <v>12.966038487180001</v>
      </c>
      <c r="AO69" s="155">
        <f t="shared" si="53"/>
        <v>12.966038487180001</v>
      </c>
      <c r="AP69" s="156">
        <f t="shared" si="54"/>
        <v>12953.072448692821</v>
      </c>
      <c r="AQ69" s="142"/>
      <c r="AR69" s="143">
        <f t="shared" si="76"/>
        <v>0</v>
      </c>
      <c r="AS69" s="144">
        <f t="shared" si="77"/>
        <v>0</v>
      </c>
      <c r="AT69" s="144">
        <f t="shared" si="78"/>
        <v>0</v>
      </c>
      <c r="AU69" s="144">
        <f t="shared" si="79"/>
        <v>0</v>
      </c>
      <c r="AV69" s="144">
        <f t="shared" si="80"/>
        <v>0</v>
      </c>
      <c r="AW69" s="144">
        <f t="shared" si="81"/>
        <v>0</v>
      </c>
      <c r="AX69" s="144">
        <f t="shared" si="82"/>
        <v>0</v>
      </c>
      <c r="AY69" s="144">
        <f t="shared" si="83"/>
        <v>0</v>
      </c>
      <c r="AZ69" s="144">
        <f>IF(AK69=0,0,((O69*AK69)-($Z$4*$Z$5*AK69)-AD52*AK69)/1.21)</f>
        <v>-21602920.322442051</v>
      </c>
      <c r="BA69" s="144">
        <f t="shared" si="85"/>
        <v>0</v>
      </c>
      <c r="BB69" s="144">
        <f t="shared" si="98"/>
        <v>0</v>
      </c>
      <c r="BC69" s="144">
        <f t="shared" si="99"/>
        <v>0</v>
      </c>
      <c r="BD69" s="144">
        <f t="shared" si="100"/>
        <v>0</v>
      </c>
      <c r="BE69" s="145">
        <f t="shared" si="56"/>
        <v>-21602920.322442051</v>
      </c>
      <c r="BF69" s="496"/>
      <c r="BG69" s="498"/>
      <c r="BH69" s="500"/>
    </row>
    <row r="70" spans="1:61" s="74" customFormat="1" x14ac:dyDescent="0.25">
      <c r="B70" s="192" t="s">
        <v>106</v>
      </c>
      <c r="C70" s="193"/>
      <c r="D70" s="194"/>
      <c r="E70" s="359"/>
      <c r="F70" s="195"/>
      <c r="G70" s="195"/>
      <c r="H70" s="195"/>
      <c r="I70" s="195"/>
      <c r="J70" s="197"/>
      <c r="K70" s="197"/>
      <c r="L70" s="197"/>
      <c r="M70" s="197"/>
      <c r="N70" s="197"/>
      <c r="O70" s="197"/>
      <c r="P70" s="197"/>
      <c r="Q70" s="197"/>
      <c r="R70" s="197"/>
      <c r="S70" s="79"/>
      <c r="T70" s="57"/>
      <c r="U70" s="58"/>
      <c r="V70" s="57"/>
      <c r="W70" s="57"/>
      <c r="X70" s="493"/>
      <c r="Y70" s="152">
        <v>0</v>
      </c>
      <c r="Z70" s="494"/>
      <c r="AA70" s="494"/>
      <c r="AB70" s="475"/>
      <c r="AC70" s="154">
        <f t="shared" si="42"/>
        <v>0</v>
      </c>
      <c r="AD70" s="155">
        <f t="shared" si="43"/>
        <v>0</v>
      </c>
      <c r="AE70" s="155">
        <f t="shared" si="44"/>
        <v>0</v>
      </c>
      <c r="AF70" s="155">
        <f t="shared" si="45"/>
        <v>0</v>
      </c>
      <c r="AG70" s="155">
        <f t="shared" si="46"/>
        <v>0</v>
      </c>
      <c r="AH70" s="155">
        <f t="shared" si="47"/>
        <v>0</v>
      </c>
      <c r="AI70" s="155">
        <f t="shared" si="48"/>
        <v>0</v>
      </c>
      <c r="AJ70" s="155">
        <f t="shared" si="49"/>
        <v>0</v>
      </c>
      <c r="AK70" s="155">
        <f t="shared" si="50"/>
        <v>0</v>
      </c>
      <c r="AL70" s="155">
        <f t="shared" si="51"/>
        <v>0</v>
      </c>
      <c r="AM70" s="155">
        <f>$AM$15*Y70</f>
        <v>0</v>
      </c>
      <c r="AN70" s="155">
        <f t="shared" si="52"/>
        <v>0</v>
      </c>
      <c r="AO70" s="155">
        <f t="shared" si="53"/>
        <v>0</v>
      </c>
      <c r="AP70" s="156">
        <f t="shared" si="54"/>
        <v>0</v>
      </c>
      <c r="AQ70" s="142"/>
      <c r="AR70" s="143">
        <f t="shared" si="76"/>
        <v>0</v>
      </c>
      <c r="AS70" s="144">
        <f t="shared" si="77"/>
        <v>0</v>
      </c>
      <c r="AT70" s="144">
        <f t="shared" si="78"/>
        <v>0</v>
      </c>
      <c r="AU70" s="144">
        <f t="shared" si="79"/>
        <v>0</v>
      </c>
      <c r="AV70" s="144">
        <f t="shared" si="80"/>
        <v>0</v>
      </c>
      <c r="AW70" s="144">
        <f t="shared" si="81"/>
        <v>0</v>
      </c>
      <c r="AX70" s="144">
        <f t="shared" si="82"/>
        <v>0</v>
      </c>
      <c r="AY70" s="144">
        <f t="shared" si="83"/>
        <v>0</v>
      </c>
      <c r="AZ70" s="144">
        <f t="shared" ref="AZ70:AZ73" si="104">IF(AK70=0,0,((O70*AK70)-($Z$4*$Z$5*AK70)-AD57*AK70)/1.21)</f>
        <v>0</v>
      </c>
      <c r="BA70" s="144">
        <f t="shared" si="85"/>
        <v>0</v>
      </c>
      <c r="BB70" s="144">
        <f t="shared" si="98"/>
        <v>0</v>
      </c>
      <c r="BC70" s="144">
        <f t="shared" si="99"/>
        <v>0</v>
      </c>
      <c r="BD70" s="144">
        <f t="shared" si="100"/>
        <v>0</v>
      </c>
      <c r="BE70" s="145">
        <f t="shared" si="56"/>
        <v>0</v>
      </c>
      <c r="BF70" s="496"/>
      <c r="BG70" s="498"/>
      <c r="BH70" s="500"/>
    </row>
    <row r="71" spans="1:61" s="74" customFormat="1" x14ac:dyDescent="0.25">
      <c r="B71" s="192" t="s">
        <v>107</v>
      </c>
      <c r="C71" s="193"/>
      <c r="D71" s="194"/>
      <c r="E71" s="359"/>
      <c r="F71" s="195"/>
      <c r="G71" s="195"/>
      <c r="H71" s="195"/>
      <c r="I71" s="195"/>
      <c r="J71" s="197"/>
      <c r="K71" s="197"/>
      <c r="L71" s="197"/>
      <c r="M71" s="197"/>
      <c r="N71" s="197"/>
      <c r="O71" s="197"/>
      <c r="P71" s="197"/>
      <c r="Q71" s="197"/>
      <c r="R71" s="197"/>
      <c r="S71" s="79"/>
      <c r="T71" s="57"/>
      <c r="U71" s="58"/>
      <c r="V71" s="57"/>
      <c r="W71" s="57"/>
      <c r="X71" s="493"/>
      <c r="Y71" s="152">
        <v>0</v>
      </c>
      <c r="Z71" s="494"/>
      <c r="AA71" s="494"/>
      <c r="AB71" s="475"/>
      <c r="AC71" s="154">
        <f t="shared" si="42"/>
        <v>0</v>
      </c>
      <c r="AD71" s="155">
        <f t="shared" si="43"/>
        <v>0</v>
      </c>
      <c r="AE71" s="155">
        <f t="shared" si="44"/>
        <v>0</v>
      </c>
      <c r="AF71" s="155">
        <f t="shared" si="45"/>
        <v>0</v>
      </c>
      <c r="AG71" s="155">
        <f t="shared" si="46"/>
        <v>0</v>
      </c>
      <c r="AH71" s="155">
        <f t="shared" si="47"/>
        <v>0</v>
      </c>
      <c r="AI71" s="155">
        <f t="shared" si="48"/>
        <v>0</v>
      </c>
      <c r="AJ71" s="155">
        <f t="shared" si="49"/>
        <v>0</v>
      </c>
      <c r="AK71" s="155">
        <f t="shared" si="50"/>
        <v>0</v>
      </c>
      <c r="AL71" s="155">
        <f t="shared" si="51"/>
        <v>0</v>
      </c>
      <c r="AM71" s="155">
        <f>$AM$15*Y71</f>
        <v>0</v>
      </c>
      <c r="AN71" s="155">
        <f t="shared" si="52"/>
        <v>0</v>
      </c>
      <c r="AO71" s="155">
        <f t="shared" si="53"/>
        <v>0</v>
      </c>
      <c r="AP71" s="156">
        <f t="shared" si="54"/>
        <v>0</v>
      </c>
      <c r="AQ71" s="142"/>
      <c r="AR71" s="143">
        <f t="shared" si="76"/>
        <v>0</v>
      </c>
      <c r="AS71" s="144">
        <f t="shared" si="77"/>
        <v>0</v>
      </c>
      <c r="AT71" s="144">
        <f t="shared" si="78"/>
        <v>0</v>
      </c>
      <c r="AU71" s="144">
        <f t="shared" si="79"/>
        <v>0</v>
      </c>
      <c r="AV71" s="144">
        <f t="shared" si="80"/>
        <v>0</v>
      </c>
      <c r="AW71" s="144">
        <f t="shared" si="81"/>
        <v>0</v>
      </c>
      <c r="AX71" s="144">
        <f t="shared" si="82"/>
        <v>0</v>
      </c>
      <c r="AY71" s="144">
        <f t="shared" si="83"/>
        <v>0</v>
      </c>
      <c r="AZ71" s="144">
        <f t="shared" si="104"/>
        <v>0</v>
      </c>
      <c r="BA71" s="144">
        <f t="shared" si="85"/>
        <v>0</v>
      </c>
      <c r="BB71" s="144">
        <f t="shared" si="98"/>
        <v>0</v>
      </c>
      <c r="BC71" s="144">
        <f t="shared" si="99"/>
        <v>0</v>
      </c>
      <c r="BD71" s="144">
        <f t="shared" si="100"/>
        <v>0</v>
      </c>
      <c r="BE71" s="145">
        <f t="shared" si="56"/>
        <v>0</v>
      </c>
      <c r="BF71" s="496"/>
      <c r="BG71" s="498"/>
      <c r="BH71" s="500"/>
    </row>
    <row r="72" spans="1:61" s="74" customFormat="1" x14ac:dyDescent="0.25">
      <c r="B72" s="192" t="s">
        <v>108</v>
      </c>
      <c r="C72" s="193"/>
      <c r="D72" s="194"/>
      <c r="E72" s="359"/>
      <c r="F72" s="195"/>
      <c r="G72" s="195"/>
      <c r="H72" s="195"/>
      <c r="I72" s="195"/>
      <c r="J72" s="197"/>
      <c r="K72" s="197"/>
      <c r="L72" s="197"/>
      <c r="M72" s="197"/>
      <c r="N72" s="197"/>
      <c r="O72" s="197"/>
      <c r="P72" s="197"/>
      <c r="Q72" s="197"/>
      <c r="R72" s="197"/>
      <c r="S72" s="79"/>
      <c r="T72" s="57"/>
      <c r="U72" s="58"/>
      <c r="V72" s="57"/>
      <c r="W72" s="57"/>
      <c r="X72" s="493"/>
      <c r="Y72" s="152">
        <v>0</v>
      </c>
      <c r="Z72" s="494"/>
      <c r="AA72" s="494"/>
      <c r="AB72" s="475"/>
      <c r="AC72" s="154">
        <f t="shared" si="42"/>
        <v>0</v>
      </c>
      <c r="AD72" s="155">
        <f t="shared" si="43"/>
        <v>0</v>
      </c>
      <c r="AE72" s="155">
        <f t="shared" si="44"/>
        <v>0</v>
      </c>
      <c r="AF72" s="155">
        <f t="shared" si="45"/>
        <v>0</v>
      </c>
      <c r="AG72" s="155">
        <f t="shared" si="46"/>
        <v>0</v>
      </c>
      <c r="AH72" s="155">
        <f t="shared" si="47"/>
        <v>0</v>
      </c>
      <c r="AI72" s="155">
        <f t="shared" si="48"/>
        <v>0</v>
      </c>
      <c r="AJ72" s="155">
        <f t="shared" si="49"/>
        <v>0</v>
      </c>
      <c r="AK72" s="155">
        <f t="shared" si="50"/>
        <v>0</v>
      </c>
      <c r="AL72" s="155">
        <f t="shared" si="51"/>
        <v>0</v>
      </c>
      <c r="AM72" s="155">
        <f>$AM$15*Y72</f>
        <v>0</v>
      </c>
      <c r="AN72" s="155">
        <f t="shared" si="52"/>
        <v>0</v>
      </c>
      <c r="AO72" s="155">
        <f t="shared" si="53"/>
        <v>0</v>
      </c>
      <c r="AP72" s="156">
        <f t="shared" si="54"/>
        <v>0</v>
      </c>
      <c r="AQ72" s="142"/>
      <c r="AR72" s="143">
        <f t="shared" si="76"/>
        <v>0</v>
      </c>
      <c r="AS72" s="144">
        <f t="shared" si="77"/>
        <v>0</v>
      </c>
      <c r="AT72" s="144">
        <f t="shared" si="78"/>
        <v>0</v>
      </c>
      <c r="AU72" s="144">
        <f t="shared" si="79"/>
        <v>0</v>
      </c>
      <c r="AV72" s="144">
        <f t="shared" si="80"/>
        <v>0</v>
      </c>
      <c r="AW72" s="144">
        <f t="shared" si="81"/>
        <v>0</v>
      </c>
      <c r="AX72" s="144">
        <f t="shared" si="82"/>
        <v>0</v>
      </c>
      <c r="AY72" s="144">
        <f t="shared" si="83"/>
        <v>0</v>
      </c>
      <c r="AZ72" s="144">
        <f t="shared" si="104"/>
        <v>0</v>
      </c>
      <c r="BA72" s="144">
        <f t="shared" si="85"/>
        <v>0</v>
      </c>
      <c r="BB72" s="144">
        <f t="shared" si="98"/>
        <v>0</v>
      </c>
      <c r="BC72" s="144">
        <f t="shared" si="99"/>
        <v>0</v>
      </c>
      <c r="BD72" s="144">
        <f t="shared" si="100"/>
        <v>0</v>
      </c>
      <c r="BE72" s="145">
        <f t="shared" si="56"/>
        <v>0</v>
      </c>
      <c r="BF72" s="496"/>
      <c r="BG72" s="498"/>
      <c r="BH72" s="500"/>
    </row>
    <row r="73" spans="1:61" s="74" customFormat="1" x14ac:dyDescent="0.25">
      <c r="B73" s="198" t="s">
        <v>109</v>
      </c>
      <c r="C73" s="199"/>
      <c r="D73" s="200"/>
      <c r="E73" s="359"/>
      <c r="F73" s="201">
        <f t="shared" ref="F73:R73" si="105">F32-250000</f>
        <v>1900000</v>
      </c>
      <c r="G73" s="201">
        <f t="shared" si="105"/>
        <v>2100000</v>
      </c>
      <c r="H73" s="201">
        <f t="shared" si="105"/>
        <v>2200000</v>
      </c>
      <c r="I73" s="201">
        <f t="shared" si="105"/>
        <v>2800000</v>
      </c>
      <c r="J73" s="201">
        <f t="shared" si="105"/>
        <v>3450000</v>
      </c>
      <c r="K73" s="201">
        <f t="shared" si="105"/>
        <v>4550000</v>
      </c>
      <c r="L73" s="201">
        <f t="shared" si="105"/>
        <v>4900000</v>
      </c>
      <c r="M73" s="201">
        <f t="shared" si="105"/>
        <v>6150000</v>
      </c>
      <c r="N73" s="201">
        <f t="shared" si="105"/>
        <v>6750000</v>
      </c>
      <c r="O73" s="201">
        <f t="shared" si="105"/>
        <v>6950000</v>
      </c>
      <c r="P73" s="201">
        <f t="shared" si="105"/>
        <v>10650000</v>
      </c>
      <c r="Q73" s="201">
        <f t="shared" si="105"/>
        <v>9050000</v>
      </c>
      <c r="R73" s="201">
        <f t="shared" si="105"/>
        <v>29950000</v>
      </c>
      <c r="S73" s="79"/>
      <c r="X73" s="510">
        <f>SUM(Y73:Y77)</f>
        <v>3.2000000000000002E-3</v>
      </c>
      <c r="Y73" s="152">
        <v>0</v>
      </c>
      <c r="Z73" s="511">
        <v>3.7753778456811188E-3</v>
      </c>
      <c r="AA73" s="511">
        <v>1.9417278327877518E-3</v>
      </c>
      <c r="AB73" s="475"/>
      <c r="AC73" s="154">
        <f t="shared" si="42"/>
        <v>0</v>
      </c>
      <c r="AD73" s="155">
        <f t="shared" si="43"/>
        <v>0</v>
      </c>
      <c r="AE73" s="155">
        <f t="shared" si="44"/>
        <v>0</v>
      </c>
      <c r="AF73" s="155">
        <f t="shared" si="45"/>
        <v>0</v>
      </c>
      <c r="AG73" s="155">
        <f t="shared" si="46"/>
        <v>0</v>
      </c>
      <c r="AH73" s="155">
        <f t="shared" si="47"/>
        <v>0</v>
      </c>
      <c r="AI73" s="155">
        <f t="shared" si="48"/>
        <v>0</v>
      </c>
      <c r="AJ73" s="155">
        <f t="shared" si="49"/>
        <v>0</v>
      </c>
      <c r="AK73" s="155">
        <f t="shared" si="50"/>
        <v>0</v>
      </c>
      <c r="AL73" s="155">
        <f t="shared" si="51"/>
        <v>0</v>
      </c>
      <c r="AM73" s="155"/>
      <c r="AN73" s="155">
        <f t="shared" si="52"/>
        <v>0</v>
      </c>
      <c r="AO73" s="155">
        <f t="shared" si="53"/>
        <v>0</v>
      </c>
      <c r="AP73" s="156">
        <f t="shared" si="54"/>
        <v>0</v>
      </c>
      <c r="AQ73" s="142"/>
      <c r="AR73" s="143">
        <f t="shared" si="76"/>
        <v>0</v>
      </c>
      <c r="AS73" s="144">
        <f t="shared" si="77"/>
        <v>0</v>
      </c>
      <c r="AT73" s="144">
        <f t="shared" si="78"/>
        <v>0</v>
      </c>
      <c r="AU73" s="144">
        <f t="shared" si="79"/>
        <v>0</v>
      </c>
      <c r="AV73" s="144">
        <f t="shared" si="80"/>
        <v>0</v>
      </c>
      <c r="AW73" s="144">
        <f t="shared" si="81"/>
        <v>0</v>
      </c>
      <c r="AX73" s="144">
        <f t="shared" si="82"/>
        <v>0</v>
      </c>
      <c r="AY73" s="144">
        <f t="shared" si="83"/>
        <v>0</v>
      </c>
      <c r="AZ73" s="144">
        <f t="shared" si="104"/>
        <v>0</v>
      </c>
      <c r="BA73" s="144">
        <f t="shared" si="85"/>
        <v>0</v>
      </c>
      <c r="BB73" s="144">
        <f t="shared" si="98"/>
        <v>0</v>
      </c>
      <c r="BC73" s="144">
        <f t="shared" si="99"/>
        <v>0</v>
      </c>
      <c r="BD73" s="144">
        <f t="shared" si="100"/>
        <v>0</v>
      </c>
      <c r="BE73" s="145">
        <f t="shared" si="56"/>
        <v>0</v>
      </c>
      <c r="BF73" s="512" t="e">
        <f>SUM(BE73:BE76)</f>
        <v>#REF!</v>
      </c>
      <c r="BG73" s="513" t="s">
        <v>110</v>
      </c>
      <c r="BH73" s="514">
        <v>820188567</v>
      </c>
    </row>
    <row r="74" spans="1:61" s="74" customFormat="1" x14ac:dyDescent="0.25">
      <c r="B74" s="198" t="s">
        <v>111</v>
      </c>
      <c r="C74" s="199"/>
      <c r="D74" s="200"/>
      <c r="E74" s="359"/>
      <c r="F74" s="201">
        <f>F73+150000</f>
        <v>2050000</v>
      </c>
      <c r="G74" s="201">
        <f t="shared" ref="G74:N74" si="106">G73+150000</f>
        <v>2250000</v>
      </c>
      <c r="H74" s="201">
        <f t="shared" si="106"/>
        <v>2350000</v>
      </c>
      <c r="I74" s="201">
        <f t="shared" si="106"/>
        <v>2950000</v>
      </c>
      <c r="J74" s="201">
        <f t="shared" si="106"/>
        <v>3600000</v>
      </c>
      <c r="K74" s="201">
        <f t="shared" si="106"/>
        <v>4700000</v>
      </c>
      <c r="L74" s="201">
        <f t="shared" si="106"/>
        <v>5050000</v>
      </c>
      <c r="M74" s="201">
        <f t="shared" si="106"/>
        <v>6300000</v>
      </c>
      <c r="N74" s="201">
        <f t="shared" si="106"/>
        <v>6900000</v>
      </c>
      <c r="O74" s="201">
        <f t="shared" ref="O74" si="107">O73+150000</f>
        <v>7100000</v>
      </c>
      <c r="P74" s="201">
        <f t="shared" ref="P74" si="108">P73+150000</f>
        <v>10800000</v>
      </c>
      <c r="Q74" s="201">
        <f t="shared" ref="Q74" si="109">Q73+150000</f>
        <v>9200000</v>
      </c>
      <c r="R74" s="201">
        <f t="shared" ref="R74" si="110">R73+150000</f>
        <v>30100000</v>
      </c>
      <c r="S74" s="79"/>
      <c r="X74" s="510"/>
      <c r="Y74" s="152">
        <v>3.0000000000000001E-3</v>
      </c>
      <c r="Z74" s="511"/>
      <c r="AA74" s="511"/>
      <c r="AB74" s="475"/>
      <c r="AC74" s="154">
        <f t="shared" si="42"/>
        <v>155.59246184616001</v>
      </c>
      <c r="AD74" s="155">
        <f t="shared" si="43"/>
        <v>21.610064145300004</v>
      </c>
      <c r="AE74" s="155">
        <f t="shared" si="44"/>
        <v>200.10919398547802</v>
      </c>
      <c r="AF74" s="155">
        <f t="shared" si="45"/>
        <v>34.576102632480001</v>
      </c>
      <c r="AG74" s="155">
        <f t="shared" si="46"/>
        <v>4.3220128290600002</v>
      </c>
      <c r="AH74" s="155">
        <f t="shared" si="47"/>
        <v>4.3220128290600002</v>
      </c>
      <c r="AI74" s="155">
        <f t="shared" si="48"/>
        <v>2.1610064145300001</v>
      </c>
      <c r="AJ74" s="155">
        <f t="shared" si="49"/>
        <v>2.1610064145300001</v>
      </c>
      <c r="AK74" s="155">
        <f t="shared" si="50"/>
        <v>1.7288051316240003</v>
      </c>
      <c r="AL74" s="155">
        <f t="shared" si="51"/>
        <v>4.3220128290600002</v>
      </c>
      <c r="AM74" s="155"/>
      <c r="AN74" s="155">
        <f t="shared" si="52"/>
        <v>0.43220128290600007</v>
      </c>
      <c r="AO74" s="155">
        <f t="shared" si="53"/>
        <v>0.43220128290600007</v>
      </c>
      <c r="AP74" s="156">
        <f t="shared" si="54"/>
        <v>431.76908162309405</v>
      </c>
      <c r="AQ74" s="142"/>
      <c r="AR74" s="143">
        <f t="shared" si="76"/>
        <v>263607063.4583703</v>
      </c>
      <c r="AS74" s="144">
        <f t="shared" si="77"/>
        <v>40184003.575971082</v>
      </c>
      <c r="AT74" s="144">
        <f t="shared" si="78"/>
        <v>388641823.02964741</v>
      </c>
      <c r="AU74" s="144">
        <f t="shared" si="79"/>
        <v>84297109.723814875</v>
      </c>
      <c r="AV74" s="144">
        <f t="shared" si="80"/>
        <v>12858881.144310744</v>
      </c>
      <c r="AW74" s="144">
        <f t="shared" si="81"/>
        <v>16787983.716183472</v>
      </c>
      <c r="AX74" s="144">
        <f t="shared" si="82"/>
        <v>9019076.3581623975</v>
      </c>
      <c r="AY74" s="144">
        <f t="shared" si="83"/>
        <v>11251521.001271902</v>
      </c>
      <c r="AZ74" s="144" t="e">
        <f>IF(AK74=0,0,((O74*AK74)-($Z$4*$Z$5*AK74)-#REF!*AK74)/1.21)</f>
        <v>#REF!</v>
      </c>
      <c r="BA74" s="144">
        <f t="shared" si="85"/>
        <v>24646188.859928928</v>
      </c>
      <c r="BB74" s="144">
        <f t="shared" si="98"/>
        <v>0</v>
      </c>
      <c r="BC74" s="144">
        <f t="shared" si="99"/>
        <v>3286158.5146571905</v>
      </c>
      <c r="BD74" s="144">
        <f t="shared" si="100"/>
        <v>10751453.401215374</v>
      </c>
      <c r="BE74" s="145" t="e">
        <f t="shared" si="56"/>
        <v>#REF!</v>
      </c>
      <c r="BF74" s="512"/>
      <c r="BG74" s="513"/>
      <c r="BH74" s="514"/>
    </row>
    <row r="75" spans="1:61" s="74" customFormat="1" x14ac:dyDescent="0.25">
      <c r="B75" s="198" t="s">
        <v>112</v>
      </c>
      <c r="C75" s="199"/>
      <c r="D75" s="200"/>
      <c r="E75" s="359"/>
      <c r="F75" s="201">
        <f t="shared" ref="F75:R75" si="111">F73</f>
        <v>1900000</v>
      </c>
      <c r="G75" s="201">
        <f t="shared" si="111"/>
        <v>2100000</v>
      </c>
      <c r="H75" s="201">
        <f t="shared" si="111"/>
        <v>2200000</v>
      </c>
      <c r="I75" s="201">
        <f t="shared" si="111"/>
        <v>2800000</v>
      </c>
      <c r="J75" s="201">
        <f t="shared" si="111"/>
        <v>3450000</v>
      </c>
      <c r="K75" s="201">
        <f t="shared" si="111"/>
        <v>4550000</v>
      </c>
      <c r="L75" s="201">
        <f t="shared" si="111"/>
        <v>4900000</v>
      </c>
      <c r="M75" s="201">
        <f t="shared" si="111"/>
        <v>6150000</v>
      </c>
      <c r="N75" s="201">
        <f t="shared" si="111"/>
        <v>6750000</v>
      </c>
      <c r="O75" s="201">
        <f>O73</f>
        <v>6950000</v>
      </c>
      <c r="P75" s="201">
        <f t="shared" si="111"/>
        <v>10650000</v>
      </c>
      <c r="Q75" s="201">
        <f t="shared" si="111"/>
        <v>9050000</v>
      </c>
      <c r="R75" s="201">
        <f t="shared" si="111"/>
        <v>29950000</v>
      </c>
      <c r="S75" s="79"/>
      <c r="X75" s="510"/>
      <c r="Y75" s="152">
        <v>2.0000000000000001E-4</v>
      </c>
      <c r="Z75" s="511"/>
      <c r="AA75" s="511"/>
      <c r="AB75" s="475"/>
      <c r="AC75" s="154">
        <f t="shared" si="42"/>
        <v>10.372830789744</v>
      </c>
      <c r="AD75" s="155">
        <f t="shared" si="43"/>
        <v>1.4406709430200002</v>
      </c>
      <c r="AE75" s="155">
        <f t="shared" si="44"/>
        <v>13.340612932365202</v>
      </c>
      <c r="AF75" s="155">
        <f t="shared" si="45"/>
        <v>2.3050735088320002</v>
      </c>
      <c r="AG75" s="155">
        <f t="shared" si="46"/>
        <v>0.28813418860400003</v>
      </c>
      <c r="AH75" s="155">
        <f t="shared" si="47"/>
        <v>0.28813418860400003</v>
      </c>
      <c r="AI75" s="155">
        <f t="shared" si="48"/>
        <v>0.14406709430200001</v>
      </c>
      <c r="AJ75" s="155">
        <f t="shared" si="49"/>
        <v>0.14406709430200001</v>
      </c>
      <c r="AK75" s="155">
        <f t="shared" si="50"/>
        <v>0.11525367544160002</v>
      </c>
      <c r="AL75" s="155">
        <f t="shared" si="51"/>
        <v>0.28813418860400003</v>
      </c>
      <c r="AM75" s="155"/>
      <c r="AN75" s="155">
        <f t="shared" si="52"/>
        <v>2.8813418860400005E-2</v>
      </c>
      <c r="AO75" s="155">
        <f t="shared" si="53"/>
        <v>2.8813418860400005E-2</v>
      </c>
      <c r="AP75" s="156">
        <f t="shared" si="54"/>
        <v>28.7846054415396</v>
      </c>
      <c r="AQ75" s="142"/>
      <c r="AR75" s="143">
        <f t="shared" si="76"/>
        <v>16287916.116126945</v>
      </c>
      <c r="AS75" s="144">
        <f t="shared" si="77"/>
        <v>2500338.0002826448</v>
      </c>
      <c r="AT75" s="144">
        <f t="shared" si="78"/>
        <v>24255659.877027638</v>
      </c>
      <c r="AU75" s="144">
        <f t="shared" si="79"/>
        <v>5334054.4006029759</v>
      </c>
      <c r="AV75" s="144">
        <f t="shared" si="80"/>
        <v>821539.62866429763</v>
      </c>
      <c r="AW75" s="144">
        <f t="shared" si="81"/>
        <v>1083479.8001224794</v>
      </c>
      <c r="AX75" s="144">
        <f t="shared" si="82"/>
        <v>583412.20006595051</v>
      </c>
      <c r="AY75" s="144">
        <f t="shared" si="83"/>
        <v>732241.84293991746</v>
      </c>
      <c r="AZ75" s="144" t="e">
        <f>IF(AK75=0,0,((O75*AK75)-($Z$4*$Z$5*AK75)-#REF!*AK75)/1.21)</f>
        <v>#REF!</v>
      </c>
      <c r="BA75" s="144">
        <f t="shared" si="85"/>
        <v>1607360.1430388431</v>
      </c>
      <c r="BB75" s="144">
        <f t="shared" si="98"/>
        <v>0</v>
      </c>
      <c r="BC75" s="144">
        <f t="shared" si="99"/>
        <v>215505.32288150417</v>
      </c>
      <c r="BD75" s="144">
        <f t="shared" si="100"/>
        <v>713191.64865204971</v>
      </c>
      <c r="BE75" s="145" t="e">
        <f t="shared" si="56"/>
        <v>#REF!</v>
      </c>
      <c r="BF75" s="512"/>
      <c r="BG75" s="513"/>
      <c r="BH75" s="514"/>
    </row>
    <row r="76" spans="1:61" s="74" customFormat="1" x14ac:dyDescent="0.25">
      <c r="B76" s="198" t="s">
        <v>113</v>
      </c>
      <c r="C76" s="199"/>
      <c r="D76" s="200"/>
      <c r="E76" s="359"/>
      <c r="F76" s="201">
        <f t="shared" ref="F76:R77" si="112">F75</f>
        <v>1900000</v>
      </c>
      <c r="G76" s="201">
        <f t="shared" si="112"/>
        <v>2100000</v>
      </c>
      <c r="H76" s="201">
        <f t="shared" si="112"/>
        <v>2200000</v>
      </c>
      <c r="I76" s="201">
        <f t="shared" si="112"/>
        <v>2800000</v>
      </c>
      <c r="J76" s="201">
        <f t="shared" si="112"/>
        <v>3450000</v>
      </c>
      <c r="K76" s="201">
        <f t="shared" si="112"/>
        <v>4550000</v>
      </c>
      <c r="L76" s="201">
        <f t="shared" si="112"/>
        <v>4900000</v>
      </c>
      <c r="M76" s="201">
        <f t="shared" si="112"/>
        <v>6150000</v>
      </c>
      <c r="N76" s="201">
        <f t="shared" si="112"/>
        <v>6750000</v>
      </c>
      <c r="O76" s="201">
        <f>O75</f>
        <v>6950000</v>
      </c>
      <c r="P76" s="201">
        <f t="shared" si="112"/>
        <v>10650000</v>
      </c>
      <c r="Q76" s="201">
        <f t="shared" si="112"/>
        <v>9050000</v>
      </c>
      <c r="R76" s="201">
        <f t="shared" si="112"/>
        <v>29950000</v>
      </c>
      <c r="S76" s="79"/>
      <c r="T76" s="79"/>
      <c r="U76" s="78"/>
      <c r="V76" s="79"/>
      <c r="W76" s="79"/>
      <c r="X76" s="510"/>
      <c r="Y76" s="152">
        <v>0</v>
      </c>
      <c r="Z76" s="511"/>
      <c r="AA76" s="511"/>
      <c r="AB76" s="475"/>
      <c r="AC76" s="154">
        <f t="shared" si="42"/>
        <v>0</v>
      </c>
      <c r="AD76" s="155">
        <f t="shared" si="43"/>
        <v>0</v>
      </c>
      <c r="AE76" s="155">
        <f t="shared" si="44"/>
        <v>0</v>
      </c>
      <c r="AF76" s="155">
        <f t="shared" si="45"/>
        <v>0</v>
      </c>
      <c r="AG76" s="155">
        <f t="shared" si="46"/>
        <v>0</v>
      </c>
      <c r="AH76" s="155">
        <f t="shared" si="47"/>
        <v>0</v>
      </c>
      <c r="AI76" s="155">
        <f t="shared" si="48"/>
        <v>0</v>
      </c>
      <c r="AJ76" s="155">
        <f t="shared" si="49"/>
        <v>0</v>
      </c>
      <c r="AK76" s="155">
        <f t="shared" si="50"/>
        <v>0</v>
      </c>
      <c r="AL76" s="155">
        <f t="shared" si="51"/>
        <v>0</v>
      </c>
      <c r="AM76" s="155">
        <f>$AM$15*Y76</f>
        <v>0</v>
      </c>
      <c r="AN76" s="155">
        <f t="shared" si="52"/>
        <v>0</v>
      </c>
      <c r="AO76" s="155">
        <f t="shared" si="53"/>
        <v>0</v>
      </c>
      <c r="AP76" s="156">
        <f t="shared" si="54"/>
        <v>0</v>
      </c>
      <c r="AQ76" s="142"/>
      <c r="AR76" s="143">
        <f t="shared" si="76"/>
        <v>0</v>
      </c>
      <c r="AS76" s="144">
        <f t="shared" si="77"/>
        <v>0</v>
      </c>
      <c r="AT76" s="144">
        <f t="shared" si="78"/>
        <v>0</v>
      </c>
      <c r="AU76" s="144">
        <f t="shared" si="79"/>
        <v>0</v>
      </c>
      <c r="AV76" s="144">
        <f t="shared" si="80"/>
        <v>0</v>
      </c>
      <c r="AW76" s="144">
        <f t="shared" si="81"/>
        <v>0</v>
      </c>
      <c r="AX76" s="144">
        <f t="shared" si="82"/>
        <v>0</v>
      </c>
      <c r="AY76" s="144">
        <f t="shared" si="83"/>
        <v>0</v>
      </c>
      <c r="AZ76" s="144">
        <f>IF(AK76=0,0,((O76*AK76)-($Z$4*$Z$5*AK76)-#REF!*AK76)/1.21)</f>
        <v>0</v>
      </c>
      <c r="BA76" s="144">
        <f t="shared" si="85"/>
        <v>0</v>
      </c>
      <c r="BB76" s="144">
        <f t="shared" si="98"/>
        <v>0</v>
      </c>
      <c r="BC76" s="144">
        <f t="shared" si="99"/>
        <v>0</v>
      </c>
      <c r="BD76" s="144">
        <f t="shared" si="100"/>
        <v>0</v>
      </c>
      <c r="BE76" s="145">
        <f t="shared" si="56"/>
        <v>0</v>
      </c>
      <c r="BF76" s="512"/>
      <c r="BG76" s="513"/>
      <c r="BH76" s="514"/>
    </row>
    <row r="77" spans="1:61" s="74" customFormat="1" x14ac:dyDescent="0.25">
      <c r="B77" s="198" t="s">
        <v>114</v>
      </c>
      <c r="C77" s="199"/>
      <c r="D77" s="200"/>
      <c r="E77" s="359"/>
      <c r="F77" s="201">
        <f t="shared" si="112"/>
        <v>1900000</v>
      </c>
      <c r="G77" s="201">
        <f t="shared" si="112"/>
        <v>2100000</v>
      </c>
      <c r="H77" s="201">
        <f t="shared" si="112"/>
        <v>2200000</v>
      </c>
      <c r="I77" s="201">
        <f t="shared" si="112"/>
        <v>2800000</v>
      </c>
      <c r="J77" s="201">
        <f t="shared" si="112"/>
        <v>3450000</v>
      </c>
      <c r="K77" s="201">
        <f t="shared" si="112"/>
        <v>4550000</v>
      </c>
      <c r="L77" s="201">
        <f t="shared" si="112"/>
        <v>4900000</v>
      </c>
      <c r="M77" s="201">
        <f t="shared" si="112"/>
        <v>6150000</v>
      </c>
      <c r="N77" s="201">
        <f t="shared" si="112"/>
        <v>6750000</v>
      </c>
      <c r="O77" s="201">
        <f>O76</f>
        <v>6950000</v>
      </c>
      <c r="P77" s="201">
        <f t="shared" si="112"/>
        <v>10650000</v>
      </c>
      <c r="Q77" s="201">
        <f t="shared" si="112"/>
        <v>9050000</v>
      </c>
      <c r="R77" s="201">
        <f t="shared" si="112"/>
        <v>29950000</v>
      </c>
      <c r="S77" s="79"/>
      <c r="T77" s="79"/>
      <c r="U77" s="78"/>
      <c r="V77" s="79"/>
      <c r="W77" s="79"/>
      <c r="X77" s="510"/>
      <c r="Y77" s="152"/>
      <c r="Z77" s="511"/>
      <c r="AA77" s="511"/>
      <c r="AB77" s="475"/>
      <c r="AC77" s="154">
        <f t="shared" si="42"/>
        <v>0</v>
      </c>
      <c r="AD77" s="155">
        <f t="shared" si="43"/>
        <v>0</v>
      </c>
      <c r="AE77" s="155">
        <f t="shared" si="44"/>
        <v>0</v>
      </c>
      <c r="AF77" s="155">
        <f t="shared" si="45"/>
        <v>0</v>
      </c>
      <c r="AG77" s="155">
        <f t="shared" si="46"/>
        <v>0</v>
      </c>
      <c r="AH77" s="155">
        <f t="shared" si="47"/>
        <v>0</v>
      </c>
      <c r="AI77" s="155">
        <f t="shared" si="48"/>
        <v>0</v>
      </c>
      <c r="AJ77" s="155">
        <f t="shared" si="49"/>
        <v>0</v>
      </c>
      <c r="AK77" s="155">
        <f t="shared" si="50"/>
        <v>0</v>
      </c>
      <c r="AL77" s="155">
        <f t="shared" si="51"/>
        <v>0</v>
      </c>
      <c r="AM77" s="155"/>
      <c r="AN77" s="155">
        <f t="shared" si="52"/>
        <v>0</v>
      </c>
      <c r="AO77" s="155">
        <f t="shared" si="53"/>
        <v>0</v>
      </c>
      <c r="AP77" s="156">
        <f t="shared" si="54"/>
        <v>0</v>
      </c>
      <c r="AQ77" s="142"/>
      <c r="AR77" s="143">
        <f t="shared" si="76"/>
        <v>0</v>
      </c>
      <c r="AS77" s="144">
        <f t="shared" si="77"/>
        <v>0</v>
      </c>
      <c r="AT77" s="144">
        <f t="shared" si="78"/>
        <v>0</v>
      </c>
      <c r="AU77" s="144">
        <f t="shared" si="79"/>
        <v>0</v>
      </c>
      <c r="AV77" s="144">
        <f t="shared" si="80"/>
        <v>0</v>
      </c>
      <c r="AW77" s="144">
        <f t="shared" si="81"/>
        <v>0</v>
      </c>
      <c r="AX77" s="144">
        <f t="shared" si="82"/>
        <v>0</v>
      </c>
      <c r="AY77" s="144">
        <f t="shared" si="83"/>
        <v>0</v>
      </c>
      <c r="AZ77" s="144">
        <f>IF(AK77=0,0,((O77*AK77)-($Z$4*$Z$5*AK77)-#REF!*AK77)/1.21)</f>
        <v>0</v>
      </c>
      <c r="BA77" s="144">
        <f t="shared" si="85"/>
        <v>0</v>
      </c>
      <c r="BB77" s="144">
        <f t="shared" si="98"/>
        <v>0</v>
      </c>
      <c r="BC77" s="144">
        <f t="shared" si="99"/>
        <v>0</v>
      </c>
      <c r="BD77" s="144">
        <f t="shared" si="100"/>
        <v>0</v>
      </c>
      <c r="BE77" s="145">
        <f t="shared" si="56"/>
        <v>0</v>
      </c>
      <c r="BF77" s="512"/>
      <c r="BG77" s="513"/>
      <c r="BH77" s="514"/>
    </row>
    <row r="78" spans="1:61" s="74" customFormat="1" ht="14.25" x14ac:dyDescent="0.25">
      <c r="B78" s="202" t="s">
        <v>115</v>
      </c>
      <c r="C78" s="134"/>
      <c r="D78" s="203"/>
      <c r="E78" s="359"/>
      <c r="F78" s="204">
        <f>F75</f>
        <v>1900000</v>
      </c>
      <c r="G78" s="205"/>
      <c r="H78" s="204">
        <f>H73</f>
        <v>2200000</v>
      </c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79"/>
      <c r="T78" s="57"/>
      <c r="U78" s="58"/>
      <c r="V78" s="57"/>
      <c r="W78" s="57"/>
      <c r="X78" s="206">
        <f>Y78</f>
        <v>4.19E-2</v>
      </c>
      <c r="Y78" s="152">
        <v>4.19E-2</v>
      </c>
      <c r="Z78" s="153">
        <v>4.1895594815379765E-2</v>
      </c>
      <c r="AA78" s="153">
        <v>2.1694487932822318E-2</v>
      </c>
      <c r="AB78" s="475"/>
      <c r="AC78" s="154">
        <f t="shared" si="42"/>
        <v>2173.1080504513679</v>
      </c>
      <c r="AD78" s="155"/>
      <c r="AE78" s="155">
        <f t="shared" si="44"/>
        <v>2794.8584093305099</v>
      </c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6">
        <f t="shared" si="54"/>
        <v>4967.9664597818773</v>
      </c>
      <c r="AQ78" s="142"/>
      <c r="AR78" s="143">
        <f t="shared" si="76"/>
        <v>3412318426.3285947</v>
      </c>
      <c r="AS78" s="144">
        <f t="shared" si="77"/>
        <v>0</v>
      </c>
      <c r="AT78" s="144">
        <f t="shared" si="78"/>
        <v>5081560744.2372904</v>
      </c>
      <c r="AU78" s="144">
        <f t="shared" si="79"/>
        <v>0</v>
      </c>
      <c r="AV78" s="144">
        <f t="shared" si="80"/>
        <v>0</v>
      </c>
      <c r="AW78" s="144">
        <f t="shared" si="81"/>
        <v>0</v>
      </c>
      <c r="AX78" s="144">
        <f t="shared" si="82"/>
        <v>0</v>
      </c>
      <c r="AY78" s="144">
        <f t="shared" si="83"/>
        <v>0</v>
      </c>
      <c r="AZ78" s="144">
        <f>IF(AK78=0,0,((O78*AK78)-($Z$4*$Z$5*AK78)-AD61*AK78)/1.21)</f>
        <v>0</v>
      </c>
      <c r="BA78" s="144">
        <f t="shared" si="85"/>
        <v>0</v>
      </c>
      <c r="BB78" s="144">
        <f t="shared" si="98"/>
        <v>0</v>
      </c>
      <c r="BC78" s="144">
        <f t="shared" si="99"/>
        <v>0</v>
      </c>
      <c r="BD78" s="144">
        <f t="shared" si="100"/>
        <v>0</v>
      </c>
      <c r="BE78" s="145">
        <f t="shared" si="56"/>
        <v>8493879170.5658855</v>
      </c>
      <c r="BF78" s="165">
        <f>BE78</f>
        <v>8493879170.5658855</v>
      </c>
      <c r="BG78" s="207" t="s">
        <v>116</v>
      </c>
      <c r="BH78" s="208">
        <v>9101681813</v>
      </c>
    </row>
    <row r="79" spans="1:61" s="74" customFormat="1" ht="14.25" x14ac:dyDescent="0.25">
      <c r="B79" s="202" t="s">
        <v>117</v>
      </c>
      <c r="C79" s="134"/>
      <c r="D79" s="203"/>
      <c r="E79" s="359"/>
      <c r="F79" s="204"/>
      <c r="G79" s="205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79"/>
      <c r="T79" s="57"/>
      <c r="U79" s="58"/>
      <c r="V79" s="57"/>
      <c r="W79" s="57"/>
      <c r="X79" s="206"/>
      <c r="Y79" s="152"/>
      <c r="Z79" s="153"/>
      <c r="AA79" s="153"/>
      <c r="AB79" s="475"/>
      <c r="AC79" s="154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6"/>
      <c r="AQ79" s="142"/>
      <c r="AR79" s="143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5"/>
      <c r="BF79" s="165"/>
      <c r="BG79" s="207"/>
      <c r="BH79" s="208"/>
    </row>
    <row r="80" spans="1:61" s="216" customFormat="1" x14ac:dyDescent="0.25">
      <c r="A80" s="209"/>
      <c r="B80" s="347" t="s">
        <v>118</v>
      </c>
      <c r="C80" s="210"/>
      <c r="D80" s="211"/>
      <c r="E80" s="359"/>
      <c r="F80" s="212">
        <f t="shared" ref="F80:R80" si="113">F32</f>
        <v>2150000</v>
      </c>
      <c r="G80" s="212">
        <f t="shared" si="113"/>
        <v>2350000</v>
      </c>
      <c r="H80" s="212">
        <f t="shared" si="113"/>
        <v>2450000</v>
      </c>
      <c r="I80" s="212">
        <f t="shared" si="113"/>
        <v>3050000</v>
      </c>
      <c r="J80" s="212">
        <f t="shared" si="113"/>
        <v>3700000</v>
      </c>
      <c r="K80" s="212">
        <f t="shared" si="113"/>
        <v>4800000</v>
      </c>
      <c r="L80" s="212">
        <f t="shared" si="113"/>
        <v>5150000</v>
      </c>
      <c r="M80" s="212">
        <f t="shared" si="113"/>
        <v>6400000</v>
      </c>
      <c r="N80" s="212">
        <f t="shared" si="113"/>
        <v>7000000</v>
      </c>
      <c r="O80" s="212">
        <f t="shared" si="113"/>
        <v>7200000</v>
      </c>
      <c r="P80" s="212">
        <f t="shared" si="113"/>
        <v>10900000</v>
      </c>
      <c r="Q80" s="212">
        <f t="shared" si="113"/>
        <v>9300000</v>
      </c>
      <c r="R80" s="212">
        <f t="shared" si="113"/>
        <v>30200000</v>
      </c>
      <c r="S80" s="79"/>
      <c r="T80" s="213"/>
      <c r="U80" s="214"/>
      <c r="V80" s="213"/>
      <c r="W80" s="213"/>
      <c r="X80" s="515">
        <f>SUM(Y80:Y83)</f>
        <v>0.23</v>
      </c>
      <c r="Y80" s="152">
        <v>0.04</v>
      </c>
      <c r="Z80" s="516">
        <v>0.19425271615251205</v>
      </c>
      <c r="AA80" s="516">
        <v>0.25980521724986277</v>
      </c>
      <c r="AB80" s="475"/>
      <c r="AC80" s="154">
        <f t="shared" si="42"/>
        <v>2074.5661579488001</v>
      </c>
      <c r="AD80" s="155">
        <f>$AD$15*Y80</f>
        <v>288.13418860400003</v>
      </c>
      <c r="AE80" s="155">
        <f t="shared" si="44"/>
        <v>2668.1225864730404</v>
      </c>
      <c r="AF80" s="155">
        <f>$AF$15*Y80</f>
        <v>461.01470176640004</v>
      </c>
      <c r="AG80" s="155">
        <f>$AG$15*Y80</f>
        <v>57.626837720800005</v>
      </c>
      <c r="AH80" s="155">
        <f>$AH$15*Y80</f>
        <v>57.626837720800005</v>
      </c>
      <c r="AI80" s="155">
        <f>$AI$15*Y80</f>
        <v>28.813418860400002</v>
      </c>
      <c r="AJ80" s="155">
        <f>$AJ$15*Y80</f>
        <v>28.813418860400002</v>
      </c>
      <c r="AK80" s="155">
        <f>$AK$15*Y80</f>
        <v>23.050735088320003</v>
      </c>
      <c r="AL80" s="155">
        <f>$AL$15*Y80</f>
        <v>57.626837720800005</v>
      </c>
      <c r="AM80" s="155">
        <f>$AM$15*Y80</f>
        <v>5.7626837720800008</v>
      </c>
      <c r="AN80" s="155">
        <f>$AN$15*Y80</f>
        <v>5.7626837720800008</v>
      </c>
      <c r="AO80" s="155">
        <f>$AO$15*Y80</f>
        <v>5.7626837720800008</v>
      </c>
      <c r="AP80" s="156">
        <f t="shared" si="54"/>
        <v>5762.6837720799995</v>
      </c>
      <c r="AQ80" s="215"/>
      <c r="AR80" s="143">
        <f t="shared" si="76"/>
        <v>3686212594.7024136</v>
      </c>
      <c r="AS80" s="144">
        <f t="shared" si="77"/>
        <v>559599457.20611572</v>
      </c>
      <c r="AT80" s="144">
        <f t="shared" si="78"/>
        <v>5402396972.6107016</v>
      </c>
      <c r="AU80" s="144">
        <f t="shared" si="79"/>
        <v>1162061851.5599339</v>
      </c>
      <c r="AV80" s="144">
        <f t="shared" si="80"/>
        <v>176214297.16277686</v>
      </c>
      <c r="AW80" s="144">
        <f t="shared" si="81"/>
        <v>228602331.45441324</v>
      </c>
      <c r="AX80" s="144">
        <f t="shared" si="82"/>
        <v>122635625.72814877</v>
      </c>
      <c r="AY80" s="144">
        <f t="shared" si="83"/>
        <v>152401554.30294216</v>
      </c>
      <c r="AZ80" s="144">
        <f>IF(AK80=0,0,((O80*AK80)-($Z$4*$Z$5*AK80)-AD64*AK80)/1.21)</f>
        <v>127560100.9515626</v>
      </c>
      <c r="BA80" s="144">
        <f t="shared" si="85"/>
        <v>333378400.03768599</v>
      </c>
      <c r="BB80" s="144">
        <f t="shared" si="98"/>
        <v>51911779.434439674</v>
      </c>
      <c r="BC80" s="144">
        <f t="shared" si="99"/>
        <v>44291701.719292566</v>
      </c>
      <c r="BD80" s="144">
        <f t="shared" si="100"/>
        <v>143828966.87340167</v>
      </c>
      <c r="BE80" s="145">
        <f t="shared" si="56"/>
        <v>12191095633.743828</v>
      </c>
      <c r="BF80" s="517">
        <f>SUM(BE80:BE83)</f>
        <v>52569292127.736855</v>
      </c>
      <c r="BG80" s="518" t="s">
        <v>119</v>
      </c>
      <c r="BH80" s="509">
        <v>42200771263</v>
      </c>
      <c r="BI80" s="74"/>
    </row>
    <row r="81" spans="1:61" s="216" customFormat="1" x14ac:dyDescent="0.25">
      <c r="A81" s="209"/>
      <c r="B81" s="347" t="s">
        <v>120</v>
      </c>
      <c r="C81" s="210"/>
      <c r="D81" s="211"/>
      <c r="E81" s="359"/>
      <c r="F81" s="212">
        <f>F80-50000</f>
        <v>2100000</v>
      </c>
      <c r="G81" s="212">
        <f t="shared" ref="G81:R83" si="114">G80-50000</f>
        <v>2300000</v>
      </c>
      <c r="H81" s="212">
        <f t="shared" si="114"/>
        <v>2400000</v>
      </c>
      <c r="I81" s="212">
        <f t="shared" si="114"/>
        <v>3000000</v>
      </c>
      <c r="J81" s="212">
        <f t="shared" si="114"/>
        <v>3650000</v>
      </c>
      <c r="K81" s="212">
        <f t="shared" si="114"/>
        <v>4750000</v>
      </c>
      <c r="L81" s="212">
        <f t="shared" si="114"/>
        <v>5100000</v>
      </c>
      <c r="M81" s="212">
        <f t="shared" si="114"/>
        <v>6350000</v>
      </c>
      <c r="N81" s="212">
        <f t="shared" si="114"/>
        <v>6950000</v>
      </c>
      <c r="O81" s="212">
        <f t="shared" si="114"/>
        <v>7150000</v>
      </c>
      <c r="P81" s="212">
        <f t="shared" si="114"/>
        <v>10850000</v>
      </c>
      <c r="Q81" s="212">
        <f t="shared" si="114"/>
        <v>9250000</v>
      </c>
      <c r="R81" s="212">
        <f t="shared" si="114"/>
        <v>30150000</v>
      </c>
      <c r="S81" s="79"/>
      <c r="T81" s="213"/>
      <c r="U81" s="214"/>
      <c r="V81" s="213"/>
      <c r="W81" s="213"/>
      <c r="X81" s="515"/>
      <c r="Y81" s="152"/>
      <c r="Z81" s="516"/>
      <c r="AA81" s="516"/>
      <c r="AB81" s="475"/>
      <c r="AC81" s="154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6"/>
      <c r="AQ81" s="215"/>
      <c r="AR81" s="143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5"/>
      <c r="BF81" s="517"/>
      <c r="BG81" s="518"/>
      <c r="BH81" s="509"/>
      <c r="BI81" s="74"/>
    </row>
    <row r="82" spans="1:61" s="216" customFormat="1" x14ac:dyDescent="0.25">
      <c r="A82" s="209"/>
      <c r="B82" s="347" t="s">
        <v>121</v>
      </c>
      <c r="C82" s="210"/>
      <c r="D82" s="211"/>
      <c r="E82" s="359"/>
      <c r="F82" s="212">
        <f>F81-50000</f>
        <v>2050000</v>
      </c>
      <c r="G82" s="212">
        <f t="shared" si="114"/>
        <v>2250000</v>
      </c>
      <c r="H82" s="212">
        <f t="shared" si="114"/>
        <v>2350000</v>
      </c>
      <c r="I82" s="212">
        <f t="shared" si="114"/>
        <v>2950000</v>
      </c>
      <c r="J82" s="212">
        <f t="shared" si="114"/>
        <v>3600000</v>
      </c>
      <c r="K82" s="212">
        <f t="shared" si="114"/>
        <v>4700000</v>
      </c>
      <c r="L82" s="212">
        <f t="shared" si="114"/>
        <v>5050000</v>
      </c>
      <c r="M82" s="212">
        <f t="shared" si="114"/>
        <v>6300000</v>
      </c>
      <c r="N82" s="212">
        <f t="shared" si="114"/>
        <v>6900000</v>
      </c>
      <c r="O82" s="212">
        <f t="shared" si="114"/>
        <v>7100000</v>
      </c>
      <c r="P82" s="212">
        <f t="shared" si="114"/>
        <v>10800000</v>
      </c>
      <c r="Q82" s="212">
        <f t="shared" si="114"/>
        <v>9200000</v>
      </c>
      <c r="R82" s="212">
        <f t="shared" si="114"/>
        <v>30100000</v>
      </c>
      <c r="S82" s="79"/>
      <c r="T82" s="213"/>
      <c r="U82" s="214"/>
      <c r="V82" s="213"/>
      <c r="W82" s="213"/>
      <c r="X82" s="515"/>
      <c r="Y82" s="152"/>
      <c r="Z82" s="516"/>
      <c r="AA82" s="516"/>
      <c r="AB82" s="475"/>
      <c r="AC82" s="154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6"/>
      <c r="AQ82" s="215"/>
      <c r="AR82" s="143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5"/>
      <c r="BF82" s="517"/>
      <c r="BG82" s="518"/>
      <c r="BH82" s="509"/>
      <c r="BI82" s="74"/>
    </row>
    <row r="83" spans="1:61" s="372" customFormat="1" x14ac:dyDescent="0.25">
      <c r="B83" s="347" t="s">
        <v>122</v>
      </c>
      <c r="C83" s="210"/>
      <c r="D83" s="211"/>
      <c r="E83" s="359"/>
      <c r="F83" s="212">
        <f>F82-50000</f>
        <v>2000000</v>
      </c>
      <c r="G83" s="212">
        <f t="shared" si="114"/>
        <v>2200000</v>
      </c>
      <c r="H83" s="212">
        <f t="shared" si="114"/>
        <v>2300000</v>
      </c>
      <c r="I83" s="212">
        <f t="shared" si="114"/>
        <v>2900000</v>
      </c>
      <c r="J83" s="212">
        <f t="shared" si="114"/>
        <v>3550000</v>
      </c>
      <c r="K83" s="212">
        <f t="shared" si="114"/>
        <v>4650000</v>
      </c>
      <c r="L83" s="212">
        <f t="shared" si="114"/>
        <v>5000000</v>
      </c>
      <c r="M83" s="212">
        <f t="shared" si="114"/>
        <v>6250000</v>
      </c>
      <c r="N83" s="212">
        <f t="shared" si="114"/>
        <v>6850000</v>
      </c>
      <c r="O83" s="212">
        <f t="shared" si="114"/>
        <v>7050000</v>
      </c>
      <c r="P83" s="212">
        <f t="shared" si="114"/>
        <v>10750000</v>
      </c>
      <c r="Q83" s="212">
        <f t="shared" si="114"/>
        <v>9150000</v>
      </c>
      <c r="R83" s="212">
        <f t="shared" si="114"/>
        <v>30050000</v>
      </c>
      <c r="S83" s="79"/>
      <c r="X83" s="515"/>
      <c r="Y83" s="152">
        <v>0.19</v>
      </c>
      <c r="Z83" s="516"/>
      <c r="AA83" s="516"/>
      <c r="AB83" s="475"/>
      <c r="AC83" s="154">
        <f t="shared" si="42"/>
        <v>9854.1892502568007</v>
      </c>
      <c r="AD83" s="155"/>
      <c r="AE83" s="155">
        <f t="shared" si="44"/>
        <v>12673.582285746941</v>
      </c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6">
        <f t="shared" si="54"/>
        <v>22527.77153600374</v>
      </c>
      <c r="AQ83" s="215"/>
      <c r="AR83" s="143">
        <f t="shared" si="76"/>
        <v>16287916116.126945</v>
      </c>
      <c r="AS83" s="144">
        <f t="shared" si="77"/>
        <v>0</v>
      </c>
      <c r="AT83" s="144">
        <f t="shared" si="78"/>
        <v>24090280377.866085</v>
      </c>
      <c r="AU83" s="144">
        <f t="shared" si="79"/>
        <v>0</v>
      </c>
      <c r="AV83" s="144">
        <f t="shared" si="80"/>
        <v>0</v>
      </c>
      <c r="AW83" s="144">
        <f t="shared" si="81"/>
        <v>0</v>
      </c>
      <c r="AX83" s="144">
        <f t="shared" si="82"/>
        <v>0</v>
      </c>
      <c r="AY83" s="144">
        <f t="shared" si="83"/>
        <v>0</v>
      </c>
      <c r="AZ83" s="144">
        <f>IF(AK83=0,0,((O83*AK83)-($Z$4*$Z$5*AK83)-AD65*AK83)/1.21)</f>
        <v>0</v>
      </c>
      <c r="BA83" s="144">
        <f t="shared" si="85"/>
        <v>0</v>
      </c>
      <c r="BB83" s="144">
        <f t="shared" si="98"/>
        <v>0</v>
      </c>
      <c r="BC83" s="144">
        <f t="shared" si="99"/>
        <v>0</v>
      </c>
      <c r="BD83" s="144">
        <f t="shared" si="100"/>
        <v>0</v>
      </c>
      <c r="BE83" s="145">
        <f t="shared" si="56"/>
        <v>40378196493.993027</v>
      </c>
      <c r="BF83" s="517"/>
      <c r="BG83" s="518"/>
      <c r="BH83" s="509"/>
      <c r="BI83" s="216"/>
    </row>
    <row r="84" spans="1:61" s="373" customFormat="1" ht="14.25" x14ac:dyDescent="0.25">
      <c r="B84" s="202" t="s">
        <v>123</v>
      </c>
      <c r="C84" s="217"/>
      <c r="D84" s="218"/>
      <c r="E84" s="359"/>
      <c r="F84" s="205">
        <f>F83</f>
        <v>2000000</v>
      </c>
      <c r="G84" s="205">
        <f t="shared" ref="G84:R84" si="115">G83</f>
        <v>2200000</v>
      </c>
      <c r="H84" s="205">
        <f t="shared" si="115"/>
        <v>2300000</v>
      </c>
      <c r="I84" s="205">
        <f t="shared" si="115"/>
        <v>2900000</v>
      </c>
      <c r="J84" s="205">
        <f t="shared" si="115"/>
        <v>3550000</v>
      </c>
      <c r="K84" s="205">
        <f t="shared" si="115"/>
        <v>4650000</v>
      </c>
      <c r="L84" s="205">
        <f t="shared" si="115"/>
        <v>5000000</v>
      </c>
      <c r="M84" s="205">
        <f t="shared" si="115"/>
        <v>6250000</v>
      </c>
      <c r="N84" s="205">
        <f t="shared" si="115"/>
        <v>6850000</v>
      </c>
      <c r="O84" s="205">
        <f>O83</f>
        <v>7050000</v>
      </c>
      <c r="P84" s="205">
        <f t="shared" si="115"/>
        <v>10750000</v>
      </c>
      <c r="Q84" s="205">
        <f t="shared" si="115"/>
        <v>9150000</v>
      </c>
      <c r="R84" s="205">
        <f t="shared" si="115"/>
        <v>30050000</v>
      </c>
      <c r="S84" s="79"/>
      <c r="T84" s="372"/>
      <c r="U84" s="372"/>
      <c r="V84" s="372"/>
      <c r="W84" s="372"/>
      <c r="X84" s="219">
        <f>Y84</f>
        <v>6.4000000000000003E-3</v>
      </c>
      <c r="Y84" s="152">
        <v>6.4000000000000003E-3</v>
      </c>
      <c r="Z84" s="153">
        <v>6.4024043719576821E-3</v>
      </c>
      <c r="AA84" s="153">
        <v>4.9000670963544315E-3</v>
      </c>
      <c r="AB84" s="475"/>
      <c r="AC84" s="154">
        <f t="shared" si="42"/>
        <v>331.93058527180801</v>
      </c>
      <c r="AD84" s="155"/>
      <c r="AE84" s="155">
        <f t="shared" si="44"/>
        <v>426.89961383568647</v>
      </c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6">
        <f t="shared" si="54"/>
        <v>758.83019910749454</v>
      </c>
      <c r="AQ84" s="220"/>
      <c r="AR84" s="143">
        <f t="shared" si="76"/>
        <v>548645595.49059176</v>
      </c>
      <c r="AS84" s="144">
        <f t="shared" si="77"/>
        <v>0</v>
      </c>
      <c r="AT84" s="144">
        <f t="shared" si="78"/>
        <v>811462075.88601553</v>
      </c>
      <c r="AU84" s="144">
        <f t="shared" si="79"/>
        <v>0</v>
      </c>
      <c r="AV84" s="144">
        <f t="shared" si="80"/>
        <v>0</v>
      </c>
      <c r="AW84" s="144">
        <f t="shared" si="81"/>
        <v>0</v>
      </c>
      <c r="AX84" s="144">
        <f t="shared" si="82"/>
        <v>0</v>
      </c>
      <c r="AY84" s="144">
        <f t="shared" si="83"/>
        <v>0</v>
      </c>
      <c r="AZ84" s="144">
        <f>IF(AK84=0,0,((O84*AK84)-($Z$4*$Z$5*AK84)-AD68*AK84)/1.21)</f>
        <v>0</v>
      </c>
      <c r="BA84" s="144">
        <f t="shared" si="85"/>
        <v>0</v>
      </c>
      <c r="BB84" s="144">
        <f t="shared" si="98"/>
        <v>0</v>
      </c>
      <c r="BC84" s="144">
        <f t="shared" si="99"/>
        <v>0</v>
      </c>
      <c r="BD84" s="144">
        <f t="shared" si="100"/>
        <v>0</v>
      </c>
      <c r="BE84" s="145">
        <f t="shared" si="56"/>
        <v>1360107671.3766074</v>
      </c>
      <c r="BF84" s="221">
        <f>BE84</f>
        <v>1360107671.3766074</v>
      </c>
      <c r="BG84" s="222" t="s">
        <v>124</v>
      </c>
      <c r="BH84" s="223">
        <v>1390901542</v>
      </c>
      <c r="BI84" s="224"/>
    </row>
    <row r="85" spans="1:61" s="372" customFormat="1" ht="14.25" x14ac:dyDescent="0.25">
      <c r="B85" s="202" t="s">
        <v>125</v>
      </c>
      <c r="C85" s="134"/>
      <c r="D85" s="203"/>
      <c r="E85" s="359"/>
      <c r="F85" s="204">
        <f>F83</f>
        <v>2000000</v>
      </c>
      <c r="G85" s="204">
        <f t="shared" ref="G85:R85" si="116">G83</f>
        <v>2200000</v>
      </c>
      <c r="H85" s="204">
        <f t="shared" si="116"/>
        <v>2300000</v>
      </c>
      <c r="I85" s="204">
        <f t="shared" si="116"/>
        <v>2900000</v>
      </c>
      <c r="J85" s="204">
        <f t="shared" si="116"/>
        <v>3550000</v>
      </c>
      <c r="K85" s="204">
        <f t="shared" si="116"/>
        <v>4650000</v>
      </c>
      <c r="L85" s="204">
        <f t="shared" si="116"/>
        <v>5000000</v>
      </c>
      <c r="M85" s="204">
        <f t="shared" si="116"/>
        <v>6250000</v>
      </c>
      <c r="N85" s="204">
        <f t="shared" si="116"/>
        <v>6850000</v>
      </c>
      <c r="O85" s="204">
        <f>O83</f>
        <v>7050000</v>
      </c>
      <c r="P85" s="204">
        <f t="shared" si="116"/>
        <v>10750000</v>
      </c>
      <c r="Q85" s="204">
        <f t="shared" si="116"/>
        <v>9150000</v>
      </c>
      <c r="R85" s="204">
        <f t="shared" si="116"/>
        <v>30050000</v>
      </c>
      <c r="S85" s="79"/>
      <c r="X85" s="206">
        <f>Y85</f>
        <v>2E-3</v>
      </c>
      <c r="Y85" s="152">
        <v>2E-3</v>
      </c>
      <c r="Z85" s="153">
        <v>2.0762951574553991E-3</v>
      </c>
      <c r="AA85" s="153">
        <v>3.5581400077262467E-4</v>
      </c>
      <c r="AB85" s="475"/>
      <c r="AC85" s="154">
        <f t="shared" si="42"/>
        <v>103.72830789744</v>
      </c>
      <c r="AD85" s="155"/>
      <c r="AE85" s="155">
        <f t="shared" si="44"/>
        <v>133.40612932365201</v>
      </c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6">
        <f t="shared" si="54"/>
        <v>237.13443722109201</v>
      </c>
      <c r="AQ85" s="215"/>
      <c r="AR85" s="143">
        <f t="shared" si="76"/>
        <v>171451748.59080991</v>
      </c>
      <c r="AS85" s="144">
        <f t="shared" si="77"/>
        <v>0</v>
      </c>
      <c r="AT85" s="144">
        <f t="shared" si="78"/>
        <v>253581898.71437985</v>
      </c>
      <c r="AU85" s="144">
        <f t="shared" si="79"/>
        <v>0</v>
      </c>
      <c r="AV85" s="144">
        <f t="shared" si="80"/>
        <v>0</v>
      </c>
      <c r="AW85" s="144">
        <f t="shared" si="81"/>
        <v>0</v>
      </c>
      <c r="AX85" s="144">
        <f t="shared" si="82"/>
        <v>0</v>
      </c>
      <c r="AY85" s="144">
        <f t="shared" si="83"/>
        <v>0</v>
      </c>
      <c r="AZ85" s="144">
        <f>IF(AK85=0,0,((O85*AK85)-($Z$4*$Z$5*AK85)-AD69*AK85)/1.21)</f>
        <v>0</v>
      </c>
      <c r="BA85" s="144">
        <f t="shared" si="85"/>
        <v>0</v>
      </c>
      <c r="BB85" s="144">
        <f t="shared" si="98"/>
        <v>0</v>
      </c>
      <c r="BC85" s="144">
        <f t="shared" si="99"/>
        <v>0</v>
      </c>
      <c r="BD85" s="144">
        <f t="shared" si="100"/>
        <v>0</v>
      </c>
      <c r="BE85" s="145">
        <f t="shared" si="56"/>
        <v>425033647.30518973</v>
      </c>
      <c r="BF85" s="225">
        <f>BE85</f>
        <v>425033647.30518973</v>
      </c>
      <c r="BG85" s="222" t="s">
        <v>125</v>
      </c>
      <c r="BH85" s="226">
        <v>451068374</v>
      </c>
    </row>
    <row r="86" spans="1:61" s="372" customFormat="1" x14ac:dyDescent="0.25">
      <c r="B86" s="202" t="s">
        <v>126</v>
      </c>
      <c r="C86" s="134"/>
      <c r="D86" s="227"/>
      <c r="E86" s="359"/>
      <c r="F86" s="205">
        <v>1000000</v>
      </c>
      <c r="G86" s="205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X86" s="374"/>
      <c r="Y86" s="228"/>
      <c r="Z86" s="229"/>
      <c r="AA86" s="229"/>
      <c r="AB86" s="475"/>
      <c r="AC86" s="154">
        <f t="shared" si="42"/>
        <v>0</v>
      </c>
      <c r="AD86" s="155">
        <f>$AD$15*Y86</f>
        <v>0</v>
      </c>
      <c r="AE86" s="155">
        <f t="shared" si="44"/>
        <v>0</v>
      </c>
      <c r="AF86" s="155">
        <f>$AF$15*Y86</f>
        <v>0</v>
      </c>
      <c r="AG86" s="155">
        <f>$AG$15*Y86</f>
        <v>0</v>
      </c>
      <c r="AH86" s="155">
        <f>$AH$15*Y86</f>
        <v>0</v>
      </c>
      <c r="AI86" s="155">
        <f>$AI$15*Y86</f>
        <v>0</v>
      </c>
      <c r="AJ86" s="155">
        <f>$AJ$15*Y86</f>
        <v>0</v>
      </c>
      <c r="AK86" s="155">
        <f>$AK$15*Y86</f>
        <v>0</v>
      </c>
      <c r="AL86" s="155">
        <f>$AL$15*Y86</f>
        <v>0</v>
      </c>
      <c r="AM86" s="155">
        <f>$AM$15*Y86</f>
        <v>0</v>
      </c>
      <c r="AN86" s="155">
        <f>$AN$15*Y86</f>
        <v>0</v>
      </c>
      <c r="AO86" s="155">
        <f>$AO$15*Y86</f>
        <v>0</v>
      </c>
      <c r="AP86" s="141">
        <f t="shared" si="54"/>
        <v>0</v>
      </c>
      <c r="AQ86" s="142"/>
      <c r="AR86" s="230">
        <f t="shared" ref="AR86:AY86" si="117">IF(AC86=0,0,((F86*AC86)-($Y$4*$Y$5)-Y$7)/1.21)</f>
        <v>0</v>
      </c>
      <c r="AS86" s="231">
        <f t="shared" si="117"/>
        <v>0</v>
      </c>
      <c r="AT86" s="231">
        <f t="shared" si="117"/>
        <v>0</v>
      </c>
      <c r="AU86" s="231">
        <f t="shared" si="117"/>
        <v>0</v>
      </c>
      <c r="AV86" s="231">
        <f t="shared" si="117"/>
        <v>0</v>
      </c>
      <c r="AW86" s="231">
        <f t="shared" si="117"/>
        <v>0</v>
      </c>
      <c r="AX86" s="231">
        <f t="shared" si="117"/>
        <v>0</v>
      </c>
      <c r="AY86" s="231">
        <f t="shared" si="117"/>
        <v>0</v>
      </c>
      <c r="AZ86" s="144">
        <f>IF(AK86=0,0,((O86*AK86)-($Z$4*$Z$5*AK86)-AD76*AK86)/1.21)</f>
        <v>0</v>
      </c>
      <c r="BA86" s="231">
        <f>IF(AL86=0,0,((N86*AL86)-($Y$4*$Y$5)-AH$7)/1.21)</f>
        <v>0</v>
      </c>
      <c r="BB86" s="231">
        <f>IF(AM86=0,0,((P86*AM86)-($Y$4*$Y$5)-AI$7)/1.21)</f>
        <v>0</v>
      </c>
      <c r="BC86" s="231">
        <f>IF(AN86=0,0,((Q86*AN86)-($Y$4*$Y$5)-AJ$7)/1.21)</f>
        <v>0</v>
      </c>
      <c r="BD86" s="231">
        <f>IF(AO86=0,0,((R86*AO86)-($Y$4*$Y$5)-AK$7)/1.21)</f>
        <v>0</v>
      </c>
      <c r="BE86" s="145">
        <f>SUM(AR86:BD86)</f>
        <v>0</v>
      </c>
      <c r="BF86" s="232"/>
      <c r="BG86" s="233"/>
      <c r="BH86" s="375"/>
    </row>
    <row r="87" spans="1:61" s="372" customFormat="1" ht="12" x14ac:dyDescent="0.2">
      <c r="E87" s="376"/>
      <c r="F87" s="377"/>
      <c r="G87" s="377"/>
      <c r="H87" s="377"/>
      <c r="I87" s="378"/>
      <c r="J87" s="377"/>
      <c r="K87" s="377"/>
      <c r="L87" s="377"/>
      <c r="M87" s="377"/>
      <c r="N87" s="377"/>
      <c r="O87" s="377"/>
      <c r="P87" s="377"/>
      <c r="Q87" s="377"/>
      <c r="R87" s="377"/>
      <c r="X87" s="234">
        <f>SUM(X16:X85)</f>
        <v>0.95550000000000002</v>
      </c>
      <c r="Y87" s="235">
        <f>SUM(Y16:Y86)</f>
        <v>0.95550000000000002</v>
      </c>
      <c r="Z87" s="234">
        <f>SUM(Z16:Z85)</f>
        <v>1</v>
      </c>
      <c r="AA87" s="234">
        <f>SUM(AA16:AA85)</f>
        <v>1</v>
      </c>
      <c r="AB87" s="476"/>
      <c r="AC87" s="236">
        <f t="shared" ref="AC87:AO87" si="118">SUM(AC16:AC86)</f>
        <v>49556.199098001969</v>
      </c>
      <c r="AD87" s="237">
        <f t="shared" si="118"/>
        <v>6095.2392922395202</v>
      </c>
      <c r="AE87" s="237">
        <f t="shared" si="118"/>
        <v>63734.778284374741</v>
      </c>
      <c r="AF87" s="237">
        <f t="shared" si="118"/>
        <v>10967.842867583235</v>
      </c>
      <c r="AG87" s="237">
        <f t="shared" si="118"/>
        <v>1383.2678584479045</v>
      </c>
      <c r="AH87" s="237">
        <f t="shared" si="118"/>
        <v>1370.9678584479043</v>
      </c>
      <c r="AI87" s="238">
        <f t="shared" si="118"/>
        <v>685.48392922395215</v>
      </c>
      <c r="AJ87" s="238">
        <f t="shared" si="118"/>
        <v>685.48392922395215</v>
      </c>
      <c r="AK87" s="238">
        <f t="shared" si="118"/>
        <v>548.44714337916162</v>
      </c>
      <c r="AL87" s="238">
        <f t="shared" si="118"/>
        <v>1370.9678584479043</v>
      </c>
      <c r="AM87" s="238">
        <f t="shared" si="118"/>
        <v>162.85555998006001</v>
      </c>
      <c r="AN87" s="238">
        <f t="shared" si="118"/>
        <v>137.03678584479042</v>
      </c>
      <c r="AO87" s="238">
        <f t="shared" si="118"/>
        <v>137.03678584479042</v>
      </c>
      <c r="AP87" s="239">
        <f t="shared" si="54"/>
        <v>136835.60725103994</v>
      </c>
      <c r="AQ87" s="85"/>
      <c r="AR87" s="240">
        <f t="shared" ref="AR87:BD87" si="119">SUM(AR16:AR86)</f>
        <v>83859428093.060104</v>
      </c>
      <c r="AS87" s="241">
        <f t="shared" si="119"/>
        <v>10945002817.862566</v>
      </c>
      <c r="AT87" s="241">
        <f t="shared" si="119"/>
        <v>121553911811.5517</v>
      </c>
      <c r="AU87" s="241">
        <f t="shared" si="119"/>
        <v>26538995730.570614</v>
      </c>
      <c r="AV87" s="241">
        <f t="shared" si="119"/>
        <v>4179423080.8689399</v>
      </c>
      <c r="AW87" s="241">
        <f t="shared" si="119"/>
        <v>5131198083.8274994</v>
      </c>
      <c r="AX87" s="242">
        <f t="shared" si="119"/>
        <v>2736195685.1430206</v>
      </c>
      <c r="AY87" s="242">
        <f t="shared" si="119"/>
        <v>896627160.08707142</v>
      </c>
      <c r="AZ87" s="242" t="e">
        <f t="shared" si="119"/>
        <v>#REF!</v>
      </c>
      <c r="BA87" s="242">
        <f t="shared" si="119"/>
        <v>7423912875.6222811</v>
      </c>
      <c r="BB87" s="242">
        <f t="shared" si="119"/>
        <v>1588330942.5244284</v>
      </c>
      <c r="BC87" s="242">
        <f t="shared" si="119"/>
        <v>984838691.91949069</v>
      </c>
      <c r="BD87" s="242">
        <f t="shared" si="119"/>
        <v>825979514.57051373</v>
      </c>
      <c r="BE87" s="243" t="e">
        <f>SUM(AR87:BD87)</f>
        <v>#REF!</v>
      </c>
      <c r="BF87" s="244" t="e">
        <f>SUM(BF16:BF86)</f>
        <v>#REF!</v>
      </c>
      <c r="BG87" s="245"/>
      <c r="BH87" s="246">
        <f>SUM(BH16:BH85)</f>
        <v>217246750000</v>
      </c>
    </row>
    <row r="88" spans="1:61" s="372" customFormat="1" ht="12" x14ac:dyDescent="0.25">
      <c r="E88" s="376"/>
      <c r="F88" s="377"/>
      <c r="G88" s="377"/>
      <c r="H88" s="377"/>
      <c r="I88" s="378"/>
      <c r="J88" s="377"/>
      <c r="K88" s="377"/>
      <c r="L88" s="377"/>
      <c r="M88" s="377"/>
      <c r="N88" s="377"/>
      <c r="O88" s="377"/>
      <c r="P88" s="377"/>
      <c r="Q88" s="377"/>
      <c r="R88" s="377"/>
      <c r="AC88" s="377"/>
      <c r="AD88" s="378"/>
      <c r="AE88" s="377"/>
      <c r="AF88" s="377"/>
      <c r="AG88" s="377"/>
      <c r="AH88" s="377"/>
      <c r="AI88" s="377"/>
      <c r="AJ88" s="377"/>
      <c r="AK88" s="377"/>
      <c r="AL88" s="377"/>
      <c r="AM88" s="377"/>
      <c r="AN88" s="377"/>
      <c r="AO88" s="377"/>
      <c r="AP88" s="366"/>
      <c r="AQ88" s="379"/>
      <c r="AR88" s="377"/>
      <c r="AS88" s="378"/>
      <c r="AT88" s="377"/>
      <c r="AU88" s="377"/>
      <c r="AV88" s="377"/>
      <c r="AW88" s="377"/>
      <c r="AX88" s="377"/>
      <c r="AY88" s="377"/>
      <c r="AZ88" s="377"/>
      <c r="BA88" s="377"/>
      <c r="BB88" s="377"/>
      <c r="BC88" s="377"/>
      <c r="BD88" s="377"/>
      <c r="BE88" s="378"/>
      <c r="BF88" s="380"/>
      <c r="BG88" s="381" t="s">
        <v>127</v>
      </c>
      <c r="BH88" s="382" t="e">
        <f>BF87-BH87</f>
        <v>#REF!</v>
      </c>
    </row>
    <row r="89" spans="1:61" s="372" customFormat="1" ht="12" x14ac:dyDescent="0.25">
      <c r="E89" s="383"/>
      <c r="F89" s="377"/>
      <c r="G89" s="377"/>
      <c r="H89" s="377"/>
      <c r="I89" s="378"/>
      <c r="J89" s="377"/>
      <c r="K89" s="377"/>
      <c r="L89" s="377"/>
      <c r="M89" s="377"/>
      <c r="N89" s="377"/>
      <c r="O89" s="377"/>
      <c r="P89" s="377"/>
      <c r="Q89" s="377"/>
      <c r="R89" s="377"/>
      <c r="AC89" s="377"/>
      <c r="AD89" s="378"/>
      <c r="AE89" s="377"/>
      <c r="AF89" s="377"/>
      <c r="AG89" s="377"/>
      <c r="AH89" s="377"/>
      <c r="AI89" s="377"/>
      <c r="AJ89" s="377"/>
      <c r="AK89" s="377"/>
      <c r="AL89" s="377"/>
      <c r="AM89" s="377"/>
      <c r="AN89" s="377"/>
      <c r="AO89" s="377"/>
      <c r="AP89" s="366"/>
      <c r="AQ89" s="379"/>
      <c r="AR89" s="377"/>
      <c r="AS89" s="378"/>
      <c r="AT89" s="377"/>
      <c r="AU89" s="377"/>
      <c r="AV89" s="377"/>
      <c r="AW89" s="377"/>
      <c r="AX89" s="377"/>
      <c r="AY89" s="377"/>
      <c r="AZ89" s="377"/>
      <c r="BA89" s="377"/>
      <c r="BB89" s="377"/>
      <c r="BC89" s="377"/>
      <c r="BD89" s="377"/>
      <c r="BE89" s="378"/>
      <c r="BF89" s="380"/>
    </row>
    <row r="90" spans="1:61" s="372" customFormat="1" ht="12" x14ac:dyDescent="0.25">
      <c r="E90" s="383"/>
      <c r="F90" s="377"/>
      <c r="G90" s="377"/>
      <c r="H90" s="377"/>
      <c r="I90" s="378"/>
      <c r="J90" s="377"/>
      <c r="K90" s="377"/>
      <c r="L90" s="377"/>
      <c r="M90" s="377"/>
      <c r="N90" s="377"/>
      <c r="O90" s="377"/>
      <c r="P90" s="377"/>
      <c r="Q90" s="377"/>
      <c r="R90" s="377"/>
      <c r="AC90" s="377"/>
      <c r="AD90" s="378"/>
      <c r="AE90" s="377"/>
      <c r="AF90" s="377"/>
      <c r="AG90" s="377"/>
      <c r="AH90" s="377"/>
      <c r="AI90" s="377"/>
      <c r="AJ90" s="377"/>
      <c r="AK90" s="377"/>
      <c r="AL90" s="377"/>
      <c r="AM90" s="377"/>
      <c r="AN90" s="377"/>
      <c r="AO90" s="377"/>
      <c r="AP90" s="366"/>
      <c r="AQ90" s="379"/>
      <c r="AR90" s="377"/>
      <c r="AS90" s="378"/>
      <c r="AT90" s="377"/>
      <c r="AU90" s="377"/>
      <c r="AV90" s="377"/>
      <c r="AW90" s="377"/>
      <c r="AX90" s="377"/>
      <c r="AY90" s="377"/>
      <c r="AZ90" s="377"/>
      <c r="BA90" s="377"/>
      <c r="BB90" s="377"/>
      <c r="BC90" s="377"/>
      <c r="BD90" s="377"/>
      <c r="BE90" s="378"/>
      <c r="BF90" s="380"/>
    </row>
    <row r="91" spans="1:61" s="372" customFormat="1" ht="12" x14ac:dyDescent="0.25">
      <c r="E91" s="383"/>
      <c r="F91" s="377"/>
      <c r="G91" s="377"/>
      <c r="H91" s="377"/>
      <c r="I91" s="378"/>
      <c r="J91" s="377"/>
      <c r="K91" s="377"/>
      <c r="L91" s="377"/>
      <c r="M91" s="377"/>
      <c r="N91" s="377"/>
      <c r="O91" s="377"/>
      <c r="P91" s="377"/>
      <c r="Q91" s="377"/>
      <c r="R91" s="377"/>
      <c r="AC91" s="377"/>
      <c r="AD91" s="378"/>
      <c r="AE91" s="377"/>
      <c r="AF91" s="377"/>
      <c r="AG91" s="377"/>
      <c r="AH91" s="377"/>
      <c r="AI91" s="377"/>
      <c r="AJ91" s="377"/>
      <c r="AK91" s="377"/>
      <c r="AL91" s="377"/>
      <c r="AM91" s="377"/>
      <c r="AN91" s="377"/>
      <c r="AO91" s="377"/>
      <c r="AP91" s="366"/>
      <c r="AQ91" s="379"/>
      <c r="AR91" s="377"/>
      <c r="AS91" s="378"/>
      <c r="AT91" s="377"/>
      <c r="AU91" s="377"/>
      <c r="AV91" s="377"/>
      <c r="AW91" s="377"/>
      <c r="AX91" s="377"/>
      <c r="AY91" s="377"/>
      <c r="AZ91" s="377"/>
      <c r="BA91" s="377"/>
      <c r="BB91" s="377"/>
      <c r="BC91" s="377"/>
      <c r="BD91" s="377"/>
      <c r="BE91" s="378"/>
      <c r="BF91" s="380"/>
    </row>
    <row r="92" spans="1:61" s="372" customFormat="1" ht="12" x14ac:dyDescent="0.25">
      <c r="E92" s="383"/>
      <c r="F92" s="377"/>
      <c r="G92" s="377"/>
      <c r="H92" s="377"/>
      <c r="I92" s="378"/>
      <c r="J92" s="377"/>
      <c r="K92" s="377"/>
      <c r="L92" s="377"/>
      <c r="M92" s="377"/>
      <c r="N92" s="377"/>
      <c r="O92" s="377"/>
      <c r="P92" s="377"/>
      <c r="Q92" s="377"/>
      <c r="R92" s="377"/>
      <c r="AC92" s="377"/>
      <c r="AD92" s="378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66"/>
      <c r="AQ92" s="379"/>
      <c r="AR92" s="377"/>
      <c r="AS92" s="378"/>
      <c r="AT92" s="377"/>
      <c r="AU92" s="377"/>
      <c r="AV92" s="377"/>
      <c r="AW92" s="377"/>
      <c r="AX92" s="377"/>
      <c r="AY92" s="377"/>
      <c r="AZ92" s="377"/>
      <c r="BA92" s="377"/>
      <c r="BB92" s="377"/>
      <c r="BC92" s="377"/>
      <c r="BD92" s="377"/>
      <c r="BE92" s="378"/>
      <c r="BF92" s="380"/>
    </row>
    <row r="93" spans="1:61" s="372" customFormat="1" ht="12" x14ac:dyDescent="0.25">
      <c r="E93" s="383"/>
      <c r="F93" s="377"/>
      <c r="G93" s="377"/>
      <c r="H93" s="377"/>
      <c r="I93" s="378"/>
      <c r="J93" s="377"/>
      <c r="K93" s="377"/>
      <c r="L93" s="377"/>
      <c r="M93" s="377"/>
      <c r="N93" s="377"/>
      <c r="O93" s="377"/>
      <c r="P93" s="377"/>
      <c r="Q93" s="377"/>
      <c r="R93" s="377"/>
      <c r="AC93" s="377"/>
      <c r="AD93" s="378"/>
      <c r="AE93" s="377"/>
      <c r="AF93" s="377"/>
      <c r="AG93" s="377"/>
      <c r="AH93" s="377"/>
      <c r="AI93" s="377"/>
      <c r="AJ93" s="377"/>
      <c r="AK93" s="377"/>
      <c r="AL93" s="377"/>
      <c r="AM93" s="377"/>
      <c r="AN93" s="377"/>
      <c r="AO93" s="377"/>
      <c r="AP93" s="366"/>
      <c r="AQ93" s="379"/>
      <c r="AR93" s="377"/>
      <c r="AS93" s="378"/>
      <c r="AT93" s="377"/>
      <c r="AU93" s="377"/>
      <c r="AV93" s="377"/>
      <c r="AW93" s="377"/>
      <c r="AX93" s="377"/>
      <c r="AY93" s="377"/>
      <c r="AZ93" s="377"/>
      <c r="BA93" s="377"/>
      <c r="BB93" s="377"/>
      <c r="BC93" s="377"/>
      <c r="BD93" s="377"/>
      <c r="BE93" s="378"/>
      <c r="BF93" s="380"/>
    </row>
    <row r="94" spans="1:61" s="372" customFormat="1" ht="12" x14ac:dyDescent="0.25">
      <c r="E94" s="383"/>
      <c r="F94" s="377"/>
      <c r="G94" s="377"/>
      <c r="H94" s="377"/>
      <c r="I94" s="378"/>
      <c r="J94" s="377"/>
      <c r="K94" s="377"/>
      <c r="L94" s="377"/>
      <c r="M94" s="377"/>
      <c r="N94" s="377"/>
      <c r="O94" s="377"/>
      <c r="P94" s="377"/>
      <c r="Q94" s="377"/>
      <c r="R94" s="377"/>
      <c r="AC94" s="377"/>
      <c r="AD94" s="378"/>
      <c r="AE94" s="377"/>
      <c r="AF94" s="377"/>
      <c r="AG94" s="377"/>
      <c r="AH94" s="377"/>
      <c r="AI94" s="377"/>
      <c r="AJ94" s="377"/>
      <c r="AK94" s="377"/>
      <c r="AL94" s="377"/>
      <c r="AM94" s="377"/>
      <c r="AN94" s="377"/>
      <c r="AO94" s="377"/>
      <c r="AP94" s="366"/>
      <c r="AQ94" s="379"/>
      <c r="AR94" s="377"/>
      <c r="AS94" s="378"/>
      <c r="AT94" s="377"/>
      <c r="AU94" s="377"/>
      <c r="AV94" s="377"/>
      <c r="AW94" s="377"/>
      <c r="AX94" s="377"/>
      <c r="AY94" s="377"/>
      <c r="AZ94" s="377"/>
      <c r="BA94" s="377"/>
      <c r="BB94" s="377"/>
      <c r="BC94" s="377"/>
      <c r="BD94" s="377"/>
      <c r="BE94" s="378"/>
      <c r="BF94" s="380"/>
    </row>
    <row r="95" spans="1:61" s="372" customFormat="1" ht="12" x14ac:dyDescent="0.25">
      <c r="E95" s="383"/>
      <c r="F95" s="377"/>
      <c r="G95" s="377"/>
      <c r="H95" s="377"/>
      <c r="I95" s="378"/>
      <c r="J95" s="377"/>
      <c r="K95" s="377"/>
      <c r="L95" s="377"/>
      <c r="M95" s="377"/>
      <c r="N95" s="377"/>
      <c r="O95" s="377"/>
      <c r="P95" s="377"/>
      <c r="Q95" s="377"/>
      <c r="R95" s="377"/>
      <c r="AC95" s="377"/>
      <c r="AD95" s="378"/>
      <c r="AE95" s="377"/>
      <c r="AF95" s="377"/>
      <c r="AG95" s="377"/>
      <c r="AH95" s="377"/>
      <c r="AI95" s="377"/>
      <c r="AJ95" s="377"/>
      <c r="AK95" s="377"/>
      <c r="AL95" s="377"/>
      <c r="AM95" s="377"/>
      <c r="AN95" s="377"/>
      <c r="AO95" s="377"/>
      <c r="AP95" s="366"/>
      <c r="AQ95" s="379"/>
      <c r="AR95" s="377"/>
      <c r="AS95" s="378"/>
      <c r="AT95" s="377"/>
      <c r="AU95" s="377"/>
      <c r="AV95" s="377"/>
      <c r="AW95" s="377"/>
      <c r="AX95" s="377"/>
      <c r="AY95" s="377"/>
      <c r="AZ95" s="377"/>
      <c r="BA95" s="377"/>
      <c r="BB95" s="377"/>
      <c r="BC95" s="377"/>
      <c r="BD95" s="377"/>
      <c r="BE95" s="378"/>
      <c r="BF95" s="380"/>
    </row>
    <row r="96" spans="1:61" s="372" customFormat="1" ht="12" x14ac:dyDescent="0.25">
      <c r="E96" s="383"/>
      <c r="F96" s="377"/>
      <c r="G96" s="377"/>
      <c r="H96" s="377"/>
      <c r="I96" s="378"/>
      <c r="J96" s="377"/>
      <c r="K96" s="377"/>
      <c r="L96" s="377"/>
      <c r="M96" s="377"/>
      <c r="N96" s="377"/>
      <c r="O96" s="377"/>
      <c r="P96" s="377"/>
      <c r="Q96" s="377"/>
      <c r="R96" s="377"/>
      <c r="AC96" s="377"/>
      <c r="AD96" s="378"/>
      <c r="AE96" s="377"/>
      <c r="AF96" s="377"/>
      <c r="AG96" s="377"/>
      <c r="AH96" s="377"/>
      <c r="AI96" s="377"/>
      <c r="AJ96" s="377"/>
      <c r="AK96" s="377"/>
      <c r="AL96" s="377"/>
      <c r="AM96" s="377"/>
      <c r="AN96" s="377"/>
      <c r="AO96" s="377"/>
      <c r="AP96" s="366"/>
      <c r="AQ96" s="379"/>
      <c r="AR96" s="377"/>
      <c r="AS96" s="378"/>
      <c r="AT96" s="377"/>
      <c r="AU96" s="377"/>
      <c r="AV96" s="377"/>
      <c r="AW96" s="377"/>
      <c r="AX96" s="377"/>
      <c r="AY96" s="377"/>
      <c r="AZ96" s="377"/>
      <c r="BA96" s="377"/>
      <c r="BB96" s="377"/>
      <c r="BC96" s="377"/>
      <c r="BD96" s="377"/>
      <c r="BE96" s="378"/>
      <c r="BF96" s="380"/>
    </row>
    <row r="97" spans="5:58" s="372" customFormat="1" ht="12" x14ac:dyDescent="0.25">
      <c r="E97" s="383"/>
      <c r="F97" s="377"/>
      <c r="G97" s="377"/>
      <c r="H97" s="377"/>
      <c r="I97" s="378"/>
      <c r="J97" s="377"/>
      <c r="K97" s="377"/>
      <c r="L97" s="377"/>
      <c r="M97" s="377"/>
      <c r="N97" s="377"/>
      <c r="O97" s="377"/>
      <c r="P97" s="377"/>
      <c r="Q97" s="377"/>
      <c r="R97" s="377"/>
      <c r="AC97" s="377"/>
      <c r="AD97" s="378"/>
      <c r="AE97" s="377"/>
      <c r="AF97" s="377"/>
      <c r="AG97" s="377"/>
      <c r="AH97" s="377"/>
      <c r="AI97" s="377"/>
      <c r="AJ97" s="377"/>
      <c r="AK97" s="377"/>
      <c r="AL97" s="377"/>
      <c r="AM97" s="377"/>
      <c r="AN97" s="377"/>
      <c r="AO97" s="377"/>
      <c r="AP97" s="366"/>
      <c r="AQ97" s="379"/>
      <c r="AR97" s="377"/>
      <c r="AS97" s="378"/>
      <c r="AT97" s="377"/>
      <c r="AU97" s="377"/>
      <c r="AV97" s="377"/>
      <c r="AW97" s="377"/>
      <c r="AX97" s="377"/>
      <c r="AY97" s="377"/>
      <c r="AZ97" s="377"/>
      <c r="BA97" s="377"/>
      <c r="BB97" s="377"/>
      <c r="BC97" s="377"/>
      <c r="BD97" s="377"/>
      <c r="BE97" s="378"/>
      <c r="BF97" s="380"/>
    </row>
    <row r="98" spans="5:58" s="372" customFormat="1" ht="12" x14ac:dyDescent="0.25">
      <c r="E98" s="383"/>
      <c r="F98" s="377"/>
      <c r="G98" s="377"/>
      <c r="H98" s="377"/>
      <c r="I98" s="378"/>
      <c r="J98" s="377"/>
      <c r="K98" s="377"/>
      <c r="L98" s="377"/>
      <c r="M98" s="377"/>
      <c r="N98" s="377"/>
      <c r="O98" s="377"/>
      <c r="P98" s="377"/>
      <c r="Q98" s="377"/>
      <c r="R98" s="377"/>
      <c r="AC98" s="377"/>
      <c r="AD98" s="378"/>
      <c r="AE98" s="377"/>
      <c r="AF98" s="377"/>
      <c r="AG98" s="377"/>
      <c r="AH98" s="377"/>
      <c r="AI98" s="377"/>
      <c r="AJ98" s="377"/>
      <c r="AK98" s="377"/>
      <c r="AL98" s="377"/>
      <c r="AM98" s="377"/>
      <c r="AN98" s="377"/>
      <c r="AO98" s="377"/>
      <c r="AP98" s="366"/>
      <c r="AQ98" s="379"/>
      <c r="AR98" s="377"/>
      <c r="AS98" s="378"/>
      <c r="AT98" s="377"/>
      <c r="AU98" s="377"/>
      <c r="AV98" s="377"/>
      <c r="AW98" s="377"/>
      <c r="AX98" s="377"/>
      <c r="AY98" s="377"/>
      <c r="AZ98" s="377"/>
      <c r="BA98" s="377"/>
      <c r="BB98" s="377"/>
      <c r="BC98" s="377"/>
      <c r="BD98" s="377"/>
      <c r="BE98" s="378"/>
      <c r="BF98" s="380"/>
    </row>
  </sheetData>
  <mergeCells count="45">
    <mergeCell ref="BH80:BH83"/>
    <mergeCell ref="X73:X77"/>
    <mergeCell ref="Z73:Z77"/>
    <mergeCell ref="AA73:AA77"/>
    <mergeCell ref="BF73:BF77"/>
    <mergeCell ref="BG73:BG77"/>
    <mergeCell ref="BH73:BH77"/>
    <mergeCell ref="X80:X83"/>
    <mergeCell ref="Z80:Z83"/>
    <mergeCell ref="AA80:AA83"/>
    <mergeCell ref="BF80:BF83"/>
    <mergeCell ref="BG80:BG83"/>
    <mergeCell ref="X41:X48"/>
    <mergeCell ref="Z41:Z48"/>
    <mergeCell ref="AA41:AA48"/>
    <mergeCell ref="BF41:BF48"/>
    <mergeCell ref="BG41:BG48"/>
    <mergeCell ref="Z49:Z72"/>
    <mergeCell ref="AA49:AA72"/>
    <mergeCell ref="BF49:BF72"/>
    <mergeCell ref="BG49:BG72"/>
    <mergeCell ref="BH49:BH72"/>
    <mergeCell ref="BH16:BH30"/>
    <mergeCell ref="X32:X40"/>
    <mergeCell ref="Z32:Z40"/>
    <mergeCell ref="BI16:BI30"/>
    <mergeCell ref="X16:X30"/>
    <mergeCell ref="Z16:Z30"/>
    <mergeCell ref="AA16:AA30"/>
    <mergeCell ref="AB16:AB87"/>
    <mergeCell ref="BF16:BF30"/>
    <mergeCell ref="AA32:AA40"/>
    <mergeCell ref="BF32:BF40"/>
    <mergeCell ref="BG32:BG40"/>
    <mergeCell ref="BH32:BH40"/>
    <mergeCell ref="BI32:BI40"/>
    <mergeCell ref="BH41:BH48"/>
    <mergeCell ref="X49:X72"/>
    <mergeCell ref="E6:L6"/>
    <mergeCell ref="B9:B10"/>
    <mergeCell ref="X10:Y15"/>
    <mergeCell ref="Z10:Z15"/>
    <mergeCell ref="BG16:BG30"/>
    <mergeCell ref="AA10:AA15"/>
    <mergeCell ref="BE10:BE15"/>
  </mergeCells>
  <pageMargins left="0.7" right="0.7" top="0.75" bottom="0.75" header="0.3" footer="0.3"/>
  <pageSetup paperSize="14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4B9B-1101-B342-8CEA-8C5C05184E8C}">
  <dimension ref="D11:H23"/>
  <sheetViews>
    <sheetView workbookViewId="0">
      <selection activeCell="F25" sqref="F25"/>
    </sheetView>
  </sheetViews>
  <sheetFormatPr defaultColWidth="11.42578125" defaultRowHeight="15" x14ac:dyDescent="0.25"/>
  <cols>
    <col min="4" max="4" width="33.28515625" customWidth="1"/>
    <col min="5" max="8" width="13.7109375" bestFit="1" customWidth="1"/>
  </cols>
  <sheetData>
    <row r="11" spans="4:8" x14ac:dyDescent="0.25">
      <c r="D11" t="s">
        <v>21</v>
      </c>
      <c r="E11" s="345">
        <v>2600000</v>
      </c>
      <c r="F11" s="345">
        <v>2900000</v>
      </c>
      <c r="G11" s="345">
        <v>3200000</v>
      </c>
      <c r="H11" s="345">
        <v>3400000</v>
      </c>
    </row>
    <row r="12" spans="4:8" x14ac:dyDescent="0.25">
      <c r="D12" t="s">
        <v>22</v>
      </c>
      <c r="E12" s="345">
        <v>2800000</v>
      </c>
      <c r="F12" s="345">
        <v>3100000</v>
      </c>
      <c r="G12" s="345">
        <v>3400000</v>
      </c>
      <c r="H12" s="345">
        <v>3600000</v>
      </c>
    </row>
    <row r="13" spans="4:8" x14ac:dyDescent="0.25">
      <c r="D13" t="s">
        <v>23</v>
      </c>
      <c r="E13" s="345">
        <v>2900000</v>
      </c>
      <c r="F13" s="345">
        <v>3200000</v>
      </c>
      <c r="G13" s="345">
        <v>3500000</v>
      </c>
      <c r="H13" s="345">
        <v>3700000</v>
      </c>
    </row>
    <row r="14" spans="4:8" x14ac:dyDescent="0.25">
      <c r="D14" t="s">
        <v>24</v>
      </c>
      <c r="E14" s="345">
        <v>3500000</v>
      </c>
      <c r="F14" s="345">
        <v>3800000</v>
      </c>
      <c r="G14" s="345">
        <v>4100000</v>
      </c>
      <c r="H14" s="345">
        <v>4300000</v>
      </c>
    </row>
    <row r="15" spans="4:8" x14ac:dyDescent="0.25">
      <c r="D15" t="s">
        <v>25</v>
      </c>
      <c r="E15" s="345">
        <v>4150000</v>
      </c>
      <c r="F15" s="345">
        <v>4450000</v>
      </c>
      <c r="G15" s="345">
        <v>4750000</v>
      </c>
      <c r="H15" s="345">
        <v>4950000</v>
      </c>
    </row>
    <row r="16" spans="4:8" x14ac:dyDescent="0.25">
      <c r="D16" t="s">
        <v>26</v>
      </c>
      <c r="E16" s="345">
        <v>5100000</v>
      </c>
      <c r="F16" s="345">
        <v>5400000</v>
      </c>
      <c r="G16" s="345">
        <v>5700000</v>
      </c>
      <c r="H16" s="345">
        <v>5900000</v>
      </c>
    </row>
    <row r="17" spans="4:8" x14ac:dyDescent="0.25">
      <c r="D17" t="s">
        <v>27</v>
      </c>
      <c r="E17" s="345">
        <v>5550000</v>
      </c>
      <c r="F17" s="345">
        <v>5850000</v>
      </c>
      <c r="G17" s="345">
        <v>6150000</v>
      </c>
      <c r="H17" s="345">
        <v>6350000</v>
      </c>
    </row>
    <row r="18" spans="4:8" x14ac:dyDescent="0.25">
      <c r="D18" t="s">
        <v>28</v>
      </c>
      <c r="E18" s="345">
        <v>6800000</v>
      </c>
      <c r="F18" s="345">
        <v>7100000</v>
      </c>
      <c r="G18" s="345">
        <v>7400000</v>
      </c>
      <c r="H18" s="345">
        <v>7600000</v>
      </c>
    </row>
    <row r="19" spans="4:8" x14ac:dyDescent="0.25">
      <c r="D19" t="s">
        <v>29</v>
      </c>
      <c r="E19" s="345">
        <v>7350000</v>
      </c>
      <c r="F19" s="345">
        <v>7650000</v>
      </c>
      <c r="G19" s="345">
        <v>7950000</v>
      </c>
      <c r="H19" s="345">
        <v>8150000</v>
      </c>
    </row>
    <row r="20" spans="4:8" x14ac:dyDescent="0.25">
      <c r="D20" t="s">
        <v>30</v>
      </c>
      <c r="E20" s="345">
        <v>7600000</v>
      </c>
      <c r="F20" s="345">
        <v>7900000</v>
      </c>
      <c r="G20" s="345">
        <v>8200000</v>
      </c>
      <c r="H20" s="345">
        <v>8400000</v>
      </c>
    </row>
    <row r="21" spans="4:8" x14ac:dyDescent="0.25">
      <c r="D21" t="s">
        <v>31</v>
      </c>
      <c r="E21" s="345">
        <v>11000000</v>
      </c>
      <c r="F21" s="345">
        <v>11300000</v>
      </c>
      <c r="G21" s="345">
        <v>11600000</v>
      </c>
      <c r="H21" s="345">
        <v>11800000</v>
      </c>
    </row>
    <row r="22" spans="4:8" x14ac:dyDescent="0.25">
      <c r="D22" t="s">
        <v>32</v>
      </c>
      <c r="E22" s="345">
        <v>9450000</v>
      </c>
      <c r="F22" s="345">
        <v>9750000</v>
      </c>
      <c r="G22" s="345">
        <v>10050000</v>
      </c>
      <c r="H22" s="345">
        <v>10250000</v>
      </c>
    </row>
    <row r="23" spans="4:8" x14ac:dyDescent="0.25">
      <c r="D23" t="s">
        <v>33</v>
      </c>
      <c r="E23" s="345">
        <v>29650000</v>
      </c>
      <c r="F23" s="345">
        <v>29950000</v>
      </c>
      <c r="G23" s="345">
        <v>30250000</v>
      </c>
      <c r="H23" s="345">
        <v>30450000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CDB2-291A-0144-9AA3-DCBEE61C0E07}">
  <dimension ref="A2:Q33"/>
  <sheetViews>
    <sheetView topLeftCell="A14" workbookViewId="0">
      <selection activeCell="A27" sqref="A27:B33"/>
    </sheetView>
  </sheetViews>
  <sheetFormatPr defaultColWidth="10.85546875" defaultRowHeight="15.75" x14ac:dyDescent="0.25"/>
  <cols>
    <col min="1" max="1" width="32.7109375" style="389" customWidth="1"/>
    <col min="2" max="3" width="18" style="389" customWidth="1"/>
    <col min="4" max="5" width="16.140625" style="389" customWidth="1"/>
    <col min="6" max="6" width="15.85546875" style="389" customWidth="1"/>
    <col min="7" max="7" width="22.85546875" style="389" customWidth="1"/>
    <col min="8" max="8" width="27.7109375" style="389" customWidth="1"/>
    <col min="9" max="9" width="15.85546875" style="389" customWidth="1"/>
    <col min="10" max="12" width="10.85546875" style="389"/>
    <col min="13" max="13" width="18.85546875" style="389" customWidth="1"/>
    <col min="14" max="14" width="17.7109375" style="400" customWidth="1"/>
    <col min="15" max="16384" width="10.85546875" style="389"/>
  </cols>
  <sheetData>
    <row r="2" spans="1:17" x14ac:dyDescent="0.25">
      <c r="B2" s="389" t="s">
        <v>198</v>
      </c>
      <c r="D2" s="390">
        <v>0.16</v>
      </c>
      <c r="E2" s="390"/>
    </row>
    <row r="6" spans="1:17" x14ac:dyDescent="0.25">
      <c r="A6" s="391" t="s">
        <v>187</v>
      </c>
      <c r="B6" s="391" t="s">
        <v>197</v>
      </c>
      <c r="C6" s="391" t="s">
        <v>201</v>
      </c>
      <c r="D6" s="391" t="s">
        <v>191</v>
      </c>
      <c r="E6" s="391" t="s">
        <v>202</v>
      </c>
      <c r="F6" s="391" t="s">
        <v>192</v>
      </c>
      <c r="G6" s="391" t="s">
        <v>193</v>
      </c>
      <c r="H6" s="391" t="s">
        <v>194</v>
      </c>
      <c r="I6" s="391" t="s">
        <v>195</v>
      </c>
      <c r="J6" s="391" t="s">
        <v>196</v>
      </c>
      <c r="K6" s="391" t="s">
        <v>128</v>
      </c>
      <c r="L6" s="391" t="s">
        <v>103</v>
      </c>
      <c r="M6" s="389" t="s">
        <v>199</v>
      </c>
      <c r="N6" s="400" t="s">
        <v>200</v>
      </c>
      <c r="O6" s="412" t="s">
        <v>203</v>
      </c>
    </row>
    <row r="7" spans="1:17" x14ac:dyDescent="0.25">
      <c r="A7" s="389" t="s">
        <v>21</v>
      </c>
      <c r="B7" s="392">
        <f>'7. Rate Strategy'!F$28</f>
        <v>2431000</v>
      </c>
      <c r="C7" s="392">
        <f>B7-(B7*10%)</f>
        <v>2187900</v>
      </c>
      <c r="D7" s="392">
        <f>B7*(1-$D$2)</f>
        <v>2042040</v>
      </c>
      <c r="E7" s="392">
        <f>C7*(1-$D$2)</f>
        <v>1837836</v>
      </c>
      <c r="F7" s="390">
        <v>0.15</v>
      </c>
      <c r="G7" s="392">
        <f>MROUND(B7*(1-F7),50000)</f>
        <v>2050000</v>
      </c>
      <c r="H7" s="392">
        <f>G7*(1+F7)</f>
        <v>2357500</v>
      </c>
      <c r="I7" s="393">
        <f>(B7-H7)/B7</f>
        <v>3.0234471410941998E-2</v>
      </c>
      <c r="J7" s="394" t="str">
        <f>IF(I7&lt;=0.03,"✅","⚠️")</f>
        <v>⚠️</v>
      </c>
      <c r="K7" s="392">
        <v>2150000</v>
      </c>
      <c r="L7" s="392">
        <v>2600000</v>
      </c>
      <c r="M7" s="390">
        <v>0.15</v>
      </c>
      <c r="N7" s="395">
        <f>FLOOR(B7*(1-M7),50000)</f>
        <v>2050000</v>
      </c>
      <c r="O7" s="390">
        <v>0.05</v>
      </c>
      <c r="P7" s="392">
        <f>FLOOR(N7-(N7*O7),5000)</f>
        <v>1945000</v>
      </c>
      <c r="Q7" s="389">
        <f>(P7-N7)/N7</f>
        <v>-5.1219512195121948E-2</v>
      </c>
    </row>
    <row r="8" spans="1:17" x14ac:dyDescent="0.25">
      <c r="A8" s="389" t="s">
        <v>22</v>
      </c>
      <c r="B8" s="392">
        <f>'7. Rate Strategy'!G$28</f>
        <v>2617999.9999999995</v>
      </c>
      <c r="C8" s="392">
        <f t="shared" ref="C8:C19" si="0">B8-(B8*10%)</f>
        <v>2356199.9999999995</v>
      </c>
      <c r="D8" s="392">
        <f t="shared" ref="D8:D19" si="1">B8*(1-$D$2)</f>
        <v>2199119.9999999995</v>
      </c>
      <c r="E8" s="392">
        <f t="shared" ref="E8:E19" si="2">C8*(1-$D$2)</f>
        <v>1979207.9999999995</v>
      </c>
      <c r="F8" s="390">
        <v>0.15</v>
      </c>
      <c r="G8" s="392">
        <f t="shared" ref="G8:G19" si="3">MROUND(B8*(1-F8),50000)</f>
        <v>2250000</v>
      </c>
      <c r="H8" s="392">
        <f t="shared" ref="H8:H19" si="4">G8*(1+F8)</f>
        <v>2587500</v>
      </c>
      <c r="I8" s="393">
        <f t="shared" ref="I8:I19" si="5">(B8-H8)/B8</f>
        <v>1.1650114591290886E-2</v>
      </c>
      <c r="J8" s="394" t="str">
        <f t="shared" ref="J8:J19" si="6">IF(I8&lt;=0.03,"✅","⚠️")</f>
        <v>✅</v>
      </c>
      <c r="K8" s="392">
        <v>2350000</v>
      </c>
      <c r="L8" s="392">
        <v>2800000</v>
      </c>
      <c r="M8" s="390">
        <v>0.15</v>
      </c>
      <c r="N8" s="395">
        <f t="shared" ref="N8:N19" si="7">FLOOR(B8*(1-M8),50000)</f>
        <v>2200000</v>
      </c>
      <c r="O8" s="390">
        <v>0.05</v>
      </c>
      <c r="P8" s="392">
        <f t="shared" ref="P8:P19" si="8">FLOOR(N8-(N8*O8),5000)</f>
        <v>2090000</v>
      </c>
      <c r="Q8" s="389">
        <f t="shared" ref="Q8:Q19" si="9">(P8-N8)/N8</f>
        <v>-0.05</v>
      </c>
    </row>
    <row r="9" spans="1:17" x14ac:dyDescent="0.25">
      <c r="A9" s="389" t="s">
        <v>23</v>
      </c>
      <c r="B9" s="392">
        <f>'7. Rate Strategy'!H$28</f>
        <v>2767599.9999999995</v>
      </c>
      <c r="C9" s="392">
        <f t="shared" si="0"/>
        <v>2490839.9999999995</v>
      </c>
      <c r="D9" s="392">
        <f t="shared" si="1"/>
        <v>2324783.9999999995</v>
      </c>
      <c r="E9" s="392">
        <f t="shared" si="2"/>
        <v>2092305.5999999996</v>
      </c>
      <c r="F9" s="390">
        <v>0.15</v>
      </c>
      <c r="G9" s="392">
        <f t="shared" si="3"/>
        <v>2350000</v>
      </c>
      <c r="H9" s="392">
        <f t="shared" si="4"/>
        <v>2702500</v>
      </c>
      <c r="I9" s="393">
        <f t="shared" si="5"/>
        <v>2.3522185286891005E-2</v>
      </c>
      <c r="J9" s="394" t="str">
        <f t="shared" si="6"/>
        <v>✅</v>
      </c>
      <c r="K9" s="392">
        <v>2450000</v>
      </c>
      <c r="L9" s="392">
        <v>2900000</v>
      </c>
      <c r="M9" s="390">
        <v>0.15</v>
      </c>
      <c r="N9" s="395">
        <f t="shared" si="7"/>
        <v>2350000</v>
      </c>
      <c r="O9" s="390">
        <v>0.05</v>
      </c>
      <c r="P9" s="392">
        <f t="shared" si="8"/>
        <v>2230000</v>
      </c>
      <c r="Q9" s="389">
        <f t="shared" si="9"/>
        <v>-5.106382978723404E-2</v>
      </c>
    </row>
    <row r="10" spans="1:17" x14ac:dyDescent="0.25">
      <c r="A10" s="389" t="s">
        <v>24</v>
      </c>
      <c r="B10" s="392">
        <f>'7. Rate Strategy'!I$28</f>
        <v>3440799.9999999995</v>
      </c>
      <c r="C10" s="392">
        <f t="shared" si="0"/>
        <v>3096719.9999999995</v>
      </c>
      <c r="D10" s="392">
        <f t="shared" si="1"/>
        <v>2890271.9999999995</v>
      </c>
      <c r="E10" s="392">
        <f t="shared" si="2"/>
        <v>2601244.7999999993</v>
      </c>
      <c r="F10" s="390">
        <v>0.11</v>
      </c>
      <c r="G10" s="392">
        <f t="shared" si="3"/>
        <v>3050000</v>
      </c>
      <c r="H10" s="392">
        <f t="shared" si="4"/>
        <v>3385500.0000000005</v>
      </c>
      <c r="I10" s="393">
        <f t="shared" si="5"/>
        <v>1.6071843757265485E-2</v>
      </c>
      <c r="J10" s="394" t="str">
        <f t="shared" si="6"/>
        <v>✅</v>
      </c>
      <c r="K10" s="392">
        <v>3050000</v>
      </c>
      <c r="L10" s="392">
        <v>3500000</v>
      </c>
      <c r="M10" s="390">
        <v>0.11</v>
      </c>
      <c r="N10" s="395">
        <f t="shared" si="7"/>
        <v>3050000</v>
      </c>
      <c r="O10" s="390">
        <v>0.05</v>
      </c>
      <c r="P10" s="392">
        <f t="shared" si="8"/>
        <v>2895000</v>
      </c>
      <c r="Q10" s="389">
        <f t="shared" si="9"/>
        <v>-5.0819672131147541E-2</v>
      </c>
    </row>
    <row r="11" spans="1:17" x14ac:dyDescent="0.25">
      <c r="A11" s="389" t="s">
        <v>25</v>
      </c>
      <c r="B11" s="392">
        <f>'7. Rate Strategy'!J$28</f>
        <v>4151399.9999999995</v>
      </c>
      <c r="C11" s="392">
        <f t="shared" si="0"/>
        <v>3736259.9999999995</v>
      </c>
      <c r="D11" s="392">
        <f t="shared" si="1"/>
        <v>3487175.9999999995</v>
      </c>
      <c r="E11" s="392">
        <f t="shared" si="2"/>
        <v>3138458.3999999994</v>
      </c>
      <c r="F11" s="390">
        <v>0.11</v>
      </c>
      <c r="G11" s="392">
        <f t="shared" si="3"/>
        <v>3700000</v>
      </c>
      <c r="H11" s="392">
        <f t="shared" si="4"/>
        <v>4107000.0000000005</v>
      </c>
      <c r="I11" s="393">
        <f t="shared" si="5"/>
        <v>1.0695187165775178E-2</v>
      </c>
      <c r="J11" s="394" t="str">
        <f t="shared" si="6"/>
        <v>✅</v>
      </c>
      <c r="K11" s="392">
        <v>3700000</v>
      </c>
      <c r="L11" s="392">
        <v>4150000</v>
      </c>
      <c r="M11" s="390">
        <v>0.11</v>
      </c>
      <c r="N11" s="395">
        <f t="shared" si="7"/>
        <v>3650000</v>
      </c>
      <c r="O11" s="390">
        <v>0.05</v>
      </c>
      <c r="P11" s="392">
        <f t="shared" si="8"/>
        <v>3465000</v>
      </c>
      <c r="Q11" s="389">
        <f t="shared" si="9"/>
        <v>-5.0684931506849315E-2</v>
      </c>
    </row>
    <row r="12" spans="1:17" x14ac:dyDescent="0.25">
      <c r="A12" s="389" t="s">
        <v>26</v>
      </c>
      <c r="B12" s="392">
        <f>'7. Rate Strategy'!K$28</f>
        <v>5161199.9999999991</v>
      </c>
      <c r="C12" s="392">
        <f t="shared" si="0"/>
        <v>4645079.9999999991</v>
      </c>
      <c r="D12" s="392">
        <f t="shared" si="1"/>
        <v>4335407.9999999991</v>
      </c>
      <c r="E12" s="392">
        <f t="shared" si="2"/>
        <v>3901867.1999999993</v>
      </c>
      <c r="F12" s="390">
        <v>0.11</v>
      </c>
      <c r="G12" s="392">
        <f t="shared" si="3"/>
        <v>4600000</v>
      </c>
      <c r="H12" s="392">
        <f t="shared" si="4"/>
        <v>5106000</v>
      </c>
      <c r="I12" s="393">
        <f t="shared" si="5"/>
        <v>1.0695187165775222E-2</v>
      </c>
      <c r="J12" s="394" t="str">
        <f t="shared" si="6"/>
        <v>✅</v>
      </c>
      <c r="K12" s="392">
        <v>4800000</v>
      </c>
      <c r="L12" s="392">
        <v>5100000</v>
      </c>
      <c r="M12" s="390">
        <v>0.11</v>
      </c>
      <c r="N12" s="395">
        <f t="shared" si="7"/>
        <v>4550000</v>
      </c>
      <c r="O12" s="390">
        <v>0.05</v>
      </c>
      <c r="P12" s="392">
        <f t="shared" si="8"/>
        <v>4320000</v>
      </c>
      <c r="Q12" s="389">
        <f t="shared" si="9"/>
        <v>-5.054945054945055E-2</v>
      </c>
    </row>
    <row r="13" spans="1:17" x14ac:dyDescent="0.25">
      <c r="A13" s="389" t="s">
        <v>27</v>
      </c>
      <c r="B13" s="392">
        <f>'7. Rate Strategy'!L$28</f>
        <v>5497799.9999999991</v>
      </c>
      <c r="C13" s="392">
        <f t="shared" si="0"/>
        <v>4948019.9999999991</v>
      </c>
      <c r="D13" s="392">
        <f t="shared" si="1"/>
        <v>4618151.9999999991</v>
      </c>
      <c r="E13" s="392">
        <f t="shared" si="2"/>
        <v>4156336.7999999989</v>
      </c>
      <c r="F13" s="390">
        <v>0.11</v>
      </c>
      <c r="G13" s="392">
        <f t="shared" si="3"/>
        <v>4900000</v>
      </c>
      <c r="H13" s="392">
        <f t="shared" si="4"/>
        <v>5439000.0000000009</v>
      </c>
      <c r="I13" s="393">
        <f t="shared" si="5"/>
        <v>1.0695187165775064E-2</v>
      </c>
      <c r="J13" s="394" t="str">
        <f t="shared" si="6"/>
        <v>✅</v>
      </c>
      <c r="K13" s="392">
        <v>5150000</v>
      </c>
      <c r="L13" s="392">
        <v>5550000</v>
      </c>
      <c r="M13" s="390">
        <v>0.11</v>
      </c>
      <c r="N13" s="395">
        <f t="shared" si="7"/>
        <v>4850000</v>
      </c>
      <c r="O13" s="390">
        <v>0.05</v>
      </c>
      <c r="P13" s="392">
        <f t="shared" si="8"/>
        <v>4605000</v>
      </c>
      <c r="Q13" s="389">
        <f t="shared" si="9"/>
        <v>-5.0515463917525774E-2</v>
      </c>
    </row>
    <row r="14" spans="1:17" x14ac:dyDescent="0.25">
      <c r="A14" s="389" t="s">
        <v>28</v>
      </c>
      <c r="B14" s="392">
        <f>'7. Rate Strategy'!M$28</f>
        <v>6881599.9999999991</v>
      </c>
      <c r="C14" s="392">
        <f t="shared" si="0"/>
        <v>6193439.9999999991</v>
      </c>
      <c r="D14" s="392">
        <f t="shared" si="1"/>
        <v>5780543.9999999991</v>
      </c>
      <c r="E14" s="392">
        <f t="shared" si="2"/>
        <v>5202489.5999999987</v>
      </c>
      <c r="F14" s="390">
        <v>0.09</v>
      </c>
      <c r="G14" s="392">
        <f t="shared" si="3"/>
        <v>6250000</v>
      </c>
      <c r="H14" s="392">
        <f t="shared" si="4"/>
        <v>6812500.0000000009</v>
      </c>
      <c r="I14" s="393">
        <f t="shared" si="5"/>
        <v>1.0041269472215494E-2</v>
      </c>
      <c r="J14" s="394" t="str">
        <f t="shared" si="6"/>
        <v>✅</v>
      </c>
      <c r="K14" s="392">
        <v>6400000</v>
      </c>
      <c r="L14" s="392">
        <v>6800000</v>
      </c>
      <c r="M14" s="390">
        <v>0.09</v>
      </c>
      <c r="N14" s="395">
        <f t="shared" si="7"/>
        <v>6250000</v>
      </c>
      <c r="O14" s="390">
        <v>0.05</v>
      </c>
      <c r="P14" s="392">
        <f t="shared" si="8"/>
        <v>5935000</v>
      </c>
      <c r="Q14" s="389">
        <f t="shared" si="9"/>
        <v>-5.04E-2</v>
      </c>
    </row>
    <row r="15" spans="1:17" x14ac:dyDescent="0.25">
      <c r="A15" s="389" t="s">
        <v>29</v>
      </c>
      <c r="B15" s="392">
        <f>'7. Rate Strategy'!N$28</f>
        <v>7479999.9999999991</v>
      </c>
      <c r="C15" s="392">
        <f t="shared" si="0"/>
        <v>6731999.9999999991</v>
      </c>
      <c r="D15" s="392">
        <f t="shared" si="1"/>
        <v>6283199.9999999991</v>
      </c>
      <c r="E15" s="392">
        <f t="shared" si="2"/>
        <v>5654879.9999999991</v>
      </c>
      <c r="F15" s="390">
        <v>0.09</v>
      </c>
      <c r="G15" s="392">
        <f t="shared" si="3"/>
        <v>6800000</v>
      </c>
      <c r="H15" s="392">
        <f t="shared" si="4"/>
        <v>7412000.0000000009</v>
      </c>
      <c r="I15" s="393">
        <f t="shared" si="5"/>
        <v>9.0909090909088424E-3</v>
      </c>
      <c r="J15" s="394" t="str">
        <f t="shared" si="6"/>
        <v>✅</v>
      </c>
      <c r="K15" s="392">
        <v>7000000</v>
      </c>
      <c r="L15" s="392">
        <v>7350000</v>
      </c>
      <c r="M15" s="390">
        <v>0.09</v>
      </c>
      <c r="N15" s="395">
        <f t="shared" si="7"/>
        <v>6800000</v>
      </c>
      <c r="O15" s="390">
        <v>0.05</v>
      </c>
      <c r="P15" s="392">
        <f t="shared" si="8"/>
        <v>6460000</v>
      </c>
      <c r="Q15" s="389">
        <f t="shared" si="9"/>
        <v>-0.05</v>
      </c>
    </row>
    <row r="16" spans="1:17" x14ac:dyDescent="0.25">
      <c r="A16" s="389" t="s">
        <v>30</v>
      </c>
      <c r="B16" s="392">
        <f>'7. Rate Strategy'!O$28</f>
        <v>7741799.9999999991</v>
      </c>
      <c r="C16" s="392">
        <f t="shared" si="0"/>
        <v>6967619.9999999991</v>
      </c>
      <c r="D16" s="392">
        <f t="shared" si="1"/>
        <v>6503111.9999999991</v>
      </c>
      <c r="E16" s="392">
        <f t="shared" si="2"/>
        <v>5852800.7999999989</v>
      </c>
      <c r="F16" s="390">
        <v>0.09</v>
      </c>
      <c r="G16" s="392">
        <f t="shared" si="3"/>
        <v>7050000</v>
      </c>
      <c r="H16" s="392">
        <f t="shared" si="4"/>
        <v>7684500.0000000009</v>
      </c>
      <c r="I16" s="393">
        <f t="shared" si="5"/>
        <v>7.401379524141433E-3</v>
      </c>
      <c r="J16" s="394" t="str">
        <f t="shared" si="6"/>
        <v>✅</v>
      </c>
      <c r="K16" s="392">
        <v>7200000</v>
      </c>
      <c r="L16" s="392">
        <v>7600000</v>
      </c>
      <c r="M16" s="390">
        <v>0.09</v>
      </c>
      <c r="N16" s="395">
        <f t="shared" si="7"/>
        <v>7000000</v>
      </c>
      <c r="O16" s="390">
        <v>0.05</v>
      </c>
      <c r="P16" s="392">
        <f t="shared" si="8"/>
        <v>6650000</v>
      </c>
      <c r="Q16" s="389">
        <f t="shared" si="9"/>
        <v>-0.05</v>
      </c>
    </row>
    <row r="17" spans="1:17" x14ac:dyDescent="0.25">
      <c r="A17" s="389" t="s">
        <v>31</v>
      </c>
      <c r="B17" s="392">
        <f>'7. Rate Strategy'!P$28</f>
        <v>11675599.999999998</v>
      </c>
      <c r="C17" s="392">
        <f t="shared" si="0"/>
        <v>10508039.999999998</v>
      </c>
      <c r="D17" s="392">
        <f t="shared" si="1"/>
        <v>9807503.9999999981</v>
      </c>
      <c r="E17" s="392">
        <f t="shared" si="2"/>
        <v>8826753.5999999978</v>
      </c>
      <c r="F17" s="390">
        <v>0.09</v>
      </c>
      <c r="G17" s="392">
        <f t="shared" si="3"/>
        <v>10600000</v>
      </c>
      <c r="H17" s="392">
        <f t="shared" si="4"/>
        <v>11554000</v>
      </c>
      <c r="I17" s="393">
        <f t="shared" si="5"/>
        <v>1.0414882318681538E-2</v>
      </c>
      <c r="J17" s="394" t="str">
        <f t="shared" si="6"/>
        <v>✅</v>
      </c>
      <c r="K17" s="392">
        <v>10900000</v>
      </c>
      <c r="L17" s="392">
        <v>11000000</v>
      </c>
      <c r="M17" s="390">
        <v>0.09</v>
      </c>
      <c r="N17" s="395">
        <f t="shared" si="7"/>
        <v>10600000</v>
      </c>
      <c r="O17" s="390">
        <v>0.05</v>
      </c>
      <c r="P17" s="392">
        <f t="shared" si="8"/>
        <v>10070000</v>
      </c>
      <c r="Q17" s="389">
        <f t="shared" si="9"/>
        <v>-0.05</v>
      </c>
    </row>
    <row r="18" spans="1:17" x14ac:dyDescent="0.25">
      <c r="A18" s="389" t="s">
        <v>32</v>
      </c>
      <c r="B18" s="392">
        <f>'7. Rate Strategy'!Q$28</f>
        <v>9948400</v>
      </c>
      <c r="C18" s="392">
        <f t="shared" si="0"/>
        <v>8953560</v>
      </c>
      <c r="D18" s="392">
        <f t="shared" si="1"/>
        <v>8356656</v>
      </c>
      <c r="E18" s="392">
        <f t="shared" si="2"/>
        <v>7520990.3999999994</v>
      </c>
      <c r="F18" s="390">
        <v>0.11</v>
      </c>
      <c r="G18" s="392">
        <f t="shared" si="3"/>
        <v>8850000</v>
      </c>
      <c r="H18" s="392">
        <f t="shared" si="4"/>
        <v>9823500</v>
      </c>
      <c r="I18" s="393">
        <f t="shared" si="5"/>
        <v>1.2554782678621687E-2</v>
      </c>
      <c r="J18" s="394" t="str">
        <f t="shared" si="6"/>
        <v>✅</v>
      </c>
      <c r="K18" s="392">
        <v>9300000</v>
      </c>
      <c r="L18" s="392">
        <v>9450000</v>
      </c>
      <c r="M18" s="390">
        <v>0.11</v>
      </c>
      <c r="N18" s="395">
        <f t="shared" si="7"/>
        <v>8850000</v>
      </c>
      <c r="O18" s="390">
        <v>0.05</v>
      </c>
      <c r="P18" s="392">
        <f t="shared" si="8"/>
        <v>8405000</v>
      </c>
      <c r="Q18" s="389">
        <f t="shared" si="9"/>
        <v>-5.0282485875706218E-2</v>
      </c>
    </row>
    <row r="19" spans="1:17" x14ac:dyDescent="0.25">
      <c r="A19" s="389" t="s">
        <v>33</v>
      </c>
      <c r="B19" s="392">
        <f>'7. Rate Strategy'!R$28</f>
        <v>32425799.999999996</v>
      </c>
      <c r="C19" s="392">
        <f t="shared" si="0"/>
        <v>29183219.999999996</v>
      </c>
      <c r="D19" s="392">
        <f t="shared" si="1"/>
        <v>27237671.999999996</v>
      </c>
      <c r="E19" s="392">
        <f t="shared" si="2"/>
        <v>24513904.799999997</v>
      </c>
      <c r="F19" s="390">
        <v>0.11</v>
      </c>
      <c r="G19" s="392">
        <f t="shared" si="3"/>
        <v>28850000</v>
      </c>
      <c r="H19" s="392">
        <f t="shared" si="4"/>
        <v>32023500.000000004</v>
      </c>
      <c r="I19" s="393">
        <f t="shared" si="5"/>
        <v>1.2406787187979714E-2</v>
      </c>
      <c r="J19" s="394" t="str">
        <f t="shared" si="6"/>
        <v>✅</v>
      </c>
      <c r="K19" s="392">
        <v>30200000</v>
      </c>
      <c r="L19" s="392">
        <v>29650000</v>
      </c>
      <c r="M19" s="390">
        <v>0.11</v>
      </c>
      <c r="N19" s="395">
        <f t="shared" si="7"/>
        <v>28850000</v>
      </c>
      <c r="O19" s="390">
        <v>0.05</v>
      </c>
      <c r="P19" s="392">
        <f t="shared" si="8"/>
        <v>27405000</v>
      </c>
      <c r="Q19" s="389">
        <f t="shared" si="9"/>
        <v>-5.0086655112651646E-2</v>
      </c>
    </row>
    <row r="26" spans="1:17" x14ac:dyDescent="0.25">
      <c r="C26" s="390"/>
    </row>
    <row r="27" spans="1:17" x14ac:dyDescent="0.25">
      <c r="A27" s="412" t="s">
        <v>204</v>
      </c>
      <c r="B27" s="392">
        <v>1945000</v>
      </c>
    </row>
    <row r="28" spans="1:17" x14ac:dyDescent="0.25">
      <c r="A28" s="389" t="s">
        <v>22</v>
      </c>
      <c r="B28" s="392">
        <v>2090000</v>
      </c>
    </row>
    <row r="29" spans="1:17" x14ac:dyDescent="0.25">
      <c r="A29" s="412" t="s">
        <v>205</v>
      </c>
      <c r="B29" s="392">
        <v>2230000</v>
      </c>
    </row>
    <row r="30" spans="1:17" x14ac:dyDescent="0.25">
      <c r="A30" s="412" t="s">
        <v>206</v>
      </c>
      <c r="B30" s="392">
        <v>2895000</v>
      </c>
    </row>
    <row r="31" spans="1:17" x14ac:dyDescent="0.25">
      <c r="A31" s="389" t="s">
        <v>26</v>
      </c>
      <c r="B31" s="392">
        <v>4320000</v>
      </c>
    </row>
    <row r="32" spans="1:17" x14ac:dyDescent="0.25">
      <c r="A32" s="389" t="s">
        <v>27</v>
      </c>
      <c r="B32" s="392">
        <v>4605000</v>
      </c>
    </row>
    <row r="33" spans="1:2" x14ac:dyDescent="0.25">
      <c r="A33" s="412" t="s">
        <v>30</v>
      </c>
      <c r="B33" s="392">
        <v>6650000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7597-1863-DF49-AF79-800F98A4FF62}">
  <dimension ref="B4:L22"/>
  <sheetViews>
    <sheetView workbookViewId="0">
      <selection activeCell="C3" sqref="C3:L22"/>
    </sheetView>
  </sheetViews>
  <sheetFormatPr defaultColWidth="11.42578125" defaultRowHeight="15" x14ac:dyDescent="0.25"/>
  <cols>
    <col min="3" max="3" width="30" customWidth="1"/>
    <col min="4" max="4" width="32.42578125" customWidth="1"/>
    <col min="5" max="6" width="17.140625" customWidth="1"/>
    <col min="10" max="10" width="14.7109375" style="345" bestFit="1" customWidth="1"/>
    <col min="11" max="11" width="15.7109375" style="346" bestFit="1" customWidth="1"/>
  </cols>
  <sheetData>
    <row r="4" spans="2:12" ht="19.5" x14ac:dyDescent="0.4">
      <c r="B4" s="396"/>
      <c r="C4" s="396"/>
      <c r="D4" s="396"/>
      <c r="E4" s="396"/>
      <c r="F4" s="396"/>
      <c r="G4" s="396"/>
      <c r="H4" s="396"/>
      <c r="I4" s="396"/>
      <c r="J4" s="397"/>
      <c r="K4" s="398"/>
      <c r="L4" s="396"/>
    </row>
    <row r="5" spans="2:12" ht="19.5" x14ac:dyDescent="0.4">
      <c r="B5" s="396"/>
      <c r="C5" s="396"/>
      <c r="D5" s="396"/>
      <c r="E5" s="396"/>
      <c r="F5" s="396"/>
      <c r="G5" s="396"/>
      <c r="H5" s="396"/>
      <c r="I5" s="396"/>
      <c r="J5" s="397"/>
      <c r="K5" s="398"/>
      <c r="L5" s="396"/>
    </row>
    <row r="6" spans="2:12" ht="19.5" x14ac:dyDescent="0.4">
      <c r="B6" s="396"/>
      <c r="C6" s="396"/>
      <c r="D6" s="396"/>
      <c r="E6" s="396"/>
      <c r="F6" s="396"/>
      <c r="G6" s="396"/>
      <c r="H6" s="396"/>
      <c r="I6" s="396"/>
      <c r="J6" s="397"/>
      <c r="K6" s="398"/>
      <c r="L6" s="396"/>
    </row>
    <row r="7" spans="2:12" ht="19.5" x14ac:dyDescent="0.4">
      <c r="B7" s="396"/>
      <c r="C7" s="396"/>
      <c r="D7" s="396"/>
      <c r="E7" s="396"/>
      <c r="F7" s="396"/>
      <c r="G7" s="396"/>
      <c r="H7" s="396"/>
      <c r="I7" s="396"/>
      <c r="J7" s="397"/>
      <c r="K7" s="398"/>
      <c r="L7" s="396"/>
    </row>
    <row r="8" spans="2:12" ht="19.5" x14ac:dyDescent="0.4">
      <c r="B8" s="396"/>
      <c r="C8" s="396"/>
      <c r="D8" s="396"/>
      <c r="E8" s="396"/>
      <c r="F8" s="396"/>
      <c r="G8" s="396"/>
      <c r="H8" s="396"/>
      <c r="I8" s="396"/>
      <c r="J8" s="397"/>
      <c r="K8" s="398"/>
      <c r="L8" s="396"/>
    </row>
    <row r="9" spans="2:12" ht="19.5" x14ac:dyDescent="0.4">
      <c r="B9" s="396"/>
      <c r="C9" s="396"/>
      <c r="D9" s="396"/>
      <c r="E9" s="396"/>
      <c r="F9" s="396"/>
      <c r="G9" s="399"/>
      <c r="H9" s="399"/>
      <c r="I9" s="396"/>
      <c r="J9" s="397"/>
      <c r="K9" s="398"/>
      <c r="L9" s="396"/>
    </row>
    <row r="10" spans="2:12" ht="19.5" x14ac:dyDescent="0.4">
      <c r="B10" s="396"/>
      <c r="C10" s="396"/>
      <c r="D10" s="396"/>
      <c r="E10" s="396"/>
      <c r="F10" s="396"/>
      <c r="G10" s="399"/>
      <c r="H10" s="399"/>
      <c r="I10" s="396"/>
      <c r="J10" s="397"/>
      <c r="K10" s="398"/>
      <c r="L10" s="396"/>
    </row>
    <row r="11" spans="2:12" ht="19.5" x14ac:dyDescent="0.4">
      <c r="B11" s="396"/>
      <c r="C11" s="396"/>
      <c r="D11" s="396"/>
      <c r="E11" s="396"/>
      <c r="F11" s="396"/>
      <c r="G11" s="399"/>
      <c r="H11" s="399"/>
      <c r="I11" s="396"/>
      <c r="J11" s="397"/>
      <c r="K11" s="398"/>
      <c r="L11" s="396"/>
    </row>
    <row r="12" spans="2:12" ht="19.5" x14ac:dyDescent="0.4">
      <c r="B12" s="396"/>
      <c r="C12" s="396"/>
      <c r="D12" s="396"/>
      <c r="E12" s="396"/>
      <c r="F12" s="396"/>
      <c r="G12" s="399"/>
      <c r="H12" s="399"/>
      <c r="I12" s="396"/>
      <c r="J12" s="397"/>
      <c r="K12" s="398"/>
      <c r="L12" s="396"/>
    </row>
    <row r="13" spans="2:12" ht="19.5" x14ac:dyDescent="0.4">
      <c r="B13" s="396"/>
      <c r="C13" s="396"/>
      <c r="D13" s="396"/>
      <c r="E13" s="396"/>
      <c r="F13" s="396"/>
      <c r="G13" s="399"/>
      <c r="H13" s="399"/>
      <c r="I13" s="396"/>
      <c r="J13" s="397"/>
      <c r="K13" s="398"/>
      <c r="L13" s="396"/>
    </row>
    <row r="14" spans="2:12" ht="19.5" x14ac:dyDescent="0.4">
      <c r="B14" s="396"/>
      <c r="C14" s="396"/>
      <c r="D14" s="396"/>
      <c r="E14" s="396"/>
      <c r="F14" s="396"/>
      <c r="G14" s="396"/>
      <c r="H14" s="396"/>
      <c r="I14" s="396"/>
      <c r="J14" s="397"/>
      <c r="K14" s="398"/>
      <c r="L14" s="396"/>
    </row>
    <row r="15" spans="2:12" ht="19.5" x14ac:dyDescent="0.4">
      <c r="B15" s="396"/>
      <c r="C15" s="396"/>
      <c r="D15" s="396"/>
      <c r="E15" s="396"/>
      <c r="F15" s="396"/>
      <c r="G15" s="396"/>
      <c r="H15" s="396"/>
      <c r="I15" s="396"/>
      <c r="J15" s="397"/>
      <c r="K15" s="398"/>
      <c r="L15" s="396"/>
    </row>
    <row r="16" spans="2:12" ht="19.5" x14ac:dyDescent="0.4">
      <c r="B16" s="396"/>
      <c r="C16" s="396"/>
      <c r="D16" s="396"/>
      <c r="E16" s="396"/>
      <c r="F16" s="396"/>
      <c r="G16" s="396"/>
      <c r="H16" s="396"/>
      <c r="I16" s="396"/>
      <c r="J16" s="397"/>
      <c r="K16" s="398"/>
      <c r="L16" s="396"/>
    </row>
    <row r="17" spans="2:12" ht="19.5" x14ac:dyDescent="0.4">
      <c r="B17" s="396"/>
      <c r="C17" s="396"/>
      <c r="D17" s="396"/>
      <c r="E17" s="396"/>
      <c r="F17" s="396"/>
      <c r="G17" s="396"/>
      <c r="H17" s="396"/>
      <c r="I17" s="396"/>
      <c r="J17" s="397"/>
      <c r="K17" s="398"/>
      <c r="L17" s="396"/>
    </row>
    <row r="18" spans="2:12" ht="19.5" x14ac:dyDescent="0.4">
      <c r="B18" s="396"/>
      <c r="C18" s="396"/>
      <c r="D18" s="396"/>
      <c r="E18" s="396"/>
      <c r="F18" s="396"/>
      <c r="G18" s="396"/>
      <c r="H18" s="396"/>
      <c r="I18" s="396"/>
      <c r="J18" s="397"/>
      <c r="K18" s="398"/>
      <c r="L18" s="396"/>
    </row>
    <row r="19" spans="2:12" ht="19.5" x14ac:dyDescent="0.4">
      <c r="B19" s="396"/>
      <c r="C19" s="396"/>
      <c r="D19" s="396"/>
      <c r="E19" s="396"/>
      <c r="F19" s="396"/>
      <c r="G19" s="396"/>
      <c r="H19" s="396"/>
      <c r="I19" s="396"/>
      <c r="J19" s="397"/>
      <c r="K19" s="398"/>
      <c r="L19" s="396"/>
    </row>
    <row r="20" spans="2:12" ht="19.5" x14ac:dyDescent="0.4">
      <c r="B20" s="396"/>
      <c r="C20" s="396"/>
      <c r="D20" s="396"/>
      <c r="E20" s="396"/>
      <c r="F20" s="396"/>
      <c r="G20" s="396"/>
      <c r="H20" s="396"/>
      <c r="I20" s="396"/>
      <c r="J20" s="397"/>
      <c r="K20" s="398"/>
      <c r="L20" s="396"/>
    </row>
    <row r="21" spans="2:12" ht="19.5" x14ac:dyDescent="0.4">
      <c r="B21" s="396"/>
      <c r="C21" s="396"/>
      <c r="D21" s="396"/>
      <c r="E21" s="396"/>
      <c r="F21" s="396"/>
      <c r="G21" s="396"/>
      <c r="H21" s="396"/>
      <c r="I21" s="396"/>
      <c r="J21" s="397"/>
      <c r="K21" s="398"/>
      <c r="L21" s="396"/>
    </row>
    <row r="22" spans="2:12" ht="19.5" x14ac:dyDescent="0.4">
      <c r="B22" s="396"/>
      <c r="C22" s="396"/>
      <c r="D22" s="396"/>
      <c r="E22" s="396"/>
      <c r="F22" s="396"/>
      <c r="G22" s="396"/>
      <c r="H22" s="396"/>
      <c r="I22" s="396"/>
      <c r="J22" s="397"/>
      <c r="K22" s="398"/>
      <c r="L22" s="3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35DB-2510-234C-8A55-24C269920BC1}">
  <dimension ref="B5:J18"/>
  <sheetViews>
    <sheetView workbookViewId="0">
      <selection activeCell="C6" sqref="C6:H17"/>
    </sheetView>
  </sheetViews>
  <sheetFormatPr defaultColWidth="10.85546875" defaultRowHeight="15" x14ac:dyDescent="0.25"/>
  <cols>
    <col min="2" max="2" width="22" customWidth="1"/>
  </cols>
  <sheetData>
    <row r="5" spans="2:10" x14ac:dyDescent="0.25">
      <c r="B5" t="s">
        <v>187</v>
      </c>
      <c r="C5" t="s">
        <v>188</v>
      </c>
      <c r="D5" t="s">
        <v>189</v>
      </c>
      <c r="E5" t="s">
        <v>188</v>
      </c>
      <c r="F5" t="s">
        <v>189</v>
      </c>
      <c r="G5" t="s">
        <v>188</v>
      </c>
      <c r="H5" t="s">
        <v>189</v>
      </c>
    </row>
    <row r="6" spans="2:10" x14ac:dyDescent="0.25">
      <c r="B6" t="s">
        <v>21</v>
      </c>
      <c r="C6" s="345">
        <v>2000000</v>
      </c>
      <c r="D6" s="345">
        <v>2150000</v>
      </c>
      <c r="E6" s="346">
        <f>C6+200000</f>
        <v>2200000</v>
      </c>
      <c r="F6" s="346">
        <f>D6+200000</f>
        <v>2350000</v>
      </c>
      <c r="G6" s="346">
        <f>C6+700000</f>
        <v>2700000</v>
      </c>
      <c r="H6" s="346">
        <f>D6+700000</f>
        <v>2850000</v>
      </c>
    </row>
    <row r="7" spans="2:10" x14ac:dyDescent="0.25">
      <c r="B7" t="s">
        <v>22</v>
      </c>
      <c r="C7" s="345">
        <v>2200000</v>
      </c>
      <c r="D7" s="345">
        <v>2350000</v>
      </c>
      <c r="E7" s="346">
        <f t="shared" ref="E7:F17" si="0">C7+200000</f>
        <v>2400000</v>
      </c>
      <c r="F7" s="346">
        <f t="shared" si="0"/>
        <v>2550000</v>
      </c>
      <c r="G7" s="346">
        <f t="shared" ref="G7:H17" si="1">C7+700000</f>
        <v>2900000</v>
      </c>
      <c r="H7" s="346">
        <f t="shared" si="1"/>
        <v>3050000</v>
      </c>
    </row>
    <row r="8" spans="2:10" x14ac:dyDescent="0.25">
      <c r="B8" t="s">
        <v>23</v>
      </c>
      <c r="C8" s="345">
        <v>2300000</v>
      </c>
      <c r="D8" s="345">
        <v>2450000</v>
      </c>
      <c r="E8" s="346">
        <f t="shared" si="0"/>
        <v>2500000</v>
      </c>
      <c r="F8" s="346">
        <f t="shared" si="0"/>
        <v>2650000</v>
      </c>
      <c r="G8" s="346">
        <f t="shared" si="1"/>
        <v>3000000</v>
      </c>
      <c r="H8" s="346">
        <f t="shared" si="1"/>
        <v>3150000</v>
      </c>
    </row>
    <row r="9" spans="2:10" x14ac:dyDescent="0.25">
      <c r="B9" t="s">
        <v>24</v>
      </c>
      <c r="C9" s="345">
        <v>2950000</v>
      </c>
      <c r="D9" s="345">
        <v>3100000</v>
      </c>
      <c r="E9" s="346">
        <f t="shared" si="0"/>
        <v>3150000</v>
      </c>
      <c r="F9" s="346">
        <f t="shared" si="0"/>
        <v>3300000</v>
      </c>
      <c r="G9" s="346">
        <f t="shared" si="1"/>
        <v>3650000</v>
      </c>
      <c r="H9" s="346">
        <f t="shared" si="1"/>
        <v>3800000</v>
      </c>
    </row>
    <row r="10" spans="2:10" x14ac:dyDescent="0.25">
      <c r="B10" t="s">
        <v>25</v>
      </c>
      <c r="C10" s="345">
        <v>3600000</v>
      </c>
      <c r="D10" s="345">
        <v>3750000</v>
      </c>
      <c r="E10" s="346">
        <f t="shared" si="0"/>
        <v>3800000</v>
      </c>
      <c r="F10" s="346">
        <f t="shared" si="0"/>
        <v>3950000</v>
      </c>
      <c r="G10" s="346">
        <f t="shared" si="1"/>
        <v>4300000</v>
      </c>
      <c r="H10" s="346">
        <f t="shared" si="1"/>
        <v>4450000</v>
      </c>
    </row>
    <row r="11" spans="2:10" x14ac:dyDescent="0.25">
      <c r="B11" t="s">
        <v>26</v>
      </c>
      <c r="C11" s="345">
        <v>4800000</v>
      </c>
      <c r="D11" s="345">
        <v>4950000</v>
      </c>
      <c r="E11" s="346">
        <f t="shared" si="0"/>
        <v>5000000</v>
      </c>
      <c r="F11" s="346">
        <f t="shared" si="0"/>
        <v>5150000</v>
      </c>
      <c r="G11" s="346">
        <f t="shared" si="1"/>
        <v>5500000</v>
      </c>
      <c r="H11" s="346">
        <f t="shared" si="1"/>
        <v>5650000</v>
      </c>
    </row>
    <row r="12" spans="2:10" x14ac:dyDescent="0.25">
      <c r="B12" t="s">
        <v>27</v>
      </c>
      <c r="C12" s="345">
        <v>5100000</v>
      </c>
      <c r="D12" s="345">
        <v>5250000</v>
      </c>
      <c r="E12" s="346">
        <f t="shared" si="0"/>
        <v>5300000</v>
      </c>
      <c r="F12" s="346">
        <f t="shared" si="0"/>
        <v>5450000</v>
      </c>
      <c r="G12" s="346">
        <f t="shared" si="1"/>
        <v>5800000</v>
      </c>
      <c r="H12" s="346">
        <f t="shared" si="1"/>
        <v>5950000</v>
      </c>
    </row>
    <row r="13" spans="2:10" x14ac:dyDescent="0.25">
      <c r="B13" t="s">
        <v>28</v>
      </c>
      <c r="C13" s="345">
        <v>6450000</v>
      </c>
      <c r="D13" s="345">
        <v>6600000</v>
      </c>
      <c r="E13" s="346">
        <f t="shared" si="0"/>
        <v>6650000</v>
      </c>
      <c r="F13" s="346">
        <f t="shared" si="0"/>
        <v>6800000</v>
      </c>
      <c r="G13" s="346">
        <f t="shared" si="1"/>
        <v>7150000</v>
      </c>
      <c r="H13" s="346">
        <f t="shared" si="1"/>
        <v>7300000</v>
      </c>
      <c r="J13" s="346">
        <f t="shared" ref="J13:J17" si="2">D13-$D$8</f>
        <v>4150000</v>
      </c>
    </row>
    <row r="14" spans="2:10" x14ac:dyDescent="0.25">
      <c r="B14" t="s">
        <v>29</v>
      </c>
      <c r="C14" s="345">
        <v>7050000</v>
      </c>
      <c r="D14" s="345">
        <v>7200000</v>
      </c>
      <c r="E14" s="346">
        <f t="shared" si="0"/>
        <v>7250000</v>
      </c>
      <c r="F14" s="346">
        <f t="shared" si="0"/>
        <v>7400000</v>
      </c>
      <c r="G14" s="346">
        <f t="shared" si="1"/>
        <v>7750000</v>
      </c>
      <c r="H14" s="346">
        <f t="shared" si="1"/>
        <v>7900000</v>
      </c>
      <c r="J14" s="346">
        <f t="shared" si="2"/>
        <v>4750000</v>
      </c>
    </row>
    <row r="15" spans="2:10" x14ac:dyDescent="0.25">
      <c r="B15" t="s">
        <v>30</v>
      </c>
      <c r="C15" s="345">
        <v>7300000</v>
      </c>
      <c r="D15" s="345">
        <v>7450000</v>
      </c>
      <c r="E15" s="346">
        <f t="shared" si="0"/>
        <v>7500000</v>
      </c>
      <c r="F15" s="346">
        <f t="shared" si="0"/>
        <v>7650000</v>
      </c>
      <c r="G15" s="346">
        <f t="shared" si="1"/>
        <v>8000000</v>
      </c>
      <c r="H15" s="346">
        <f t="shared" si="1"/>
        <v>8150000</v>
      </c>
      <c r="J15" s="346">
        <f t="shared" si="2"/>
        <v>5000000</v>
      </c>
    </row>
    <row r="16" spans="2:10" x14ac:dyDescent="0.25">
      <c r="B16" t="s">
        <v>31</v>
      </c>
      <c r="C16" s="345">
        <v>10650000</v>
      </c>
      <c r="D16" s="345">
        <v>10800000</v>
      </c>
      <c r="E16" s="346">
        <f t="shared" si="0"/>
        <v>10850000</v>
      </c>
      <c r="F16" s="346">
        <f t="shared" si="0"/>
        <v>11000000</v>
      </c>
      <c r="G16" s="346">
        <f t="shared" si="1"/>
        <v>11350000</v>
      </c>
      <c r="H16" s="346">
        <f t="shared" si="1"/>
        <v>11500000</v>
      </c>
      <c r="J16" s="346">
        <f t="shared" si="2"/>
        <v>8350000</v>
      </c>
    </row>
    <row r="17" spans="2:10" x14ac:dyDescent="0.25">
      <c r="B17" t="s">
        <v>32</v>
      </c>
      <c r="C17" s="345">
        <v>9450000</v>
      </c>
      <c r="D17" s="345">
        <v>9600000</v>
      </c>
      <c r="E17" s="346">
        <f t="shared" si="0"/>
        <v>9650000</v>
      </c>
      <c r="F17" s="346">
        <f t="shared" si="0"/>
        <v>9800000</v>
      </c>
      <c r="G17" s="346">
        <f t="shared" si="1"/>
        <v>10150000</v>
      </c>
      <c r="H17" s="346">
        <f t="shared" si="1"/>
        <v>10300000</v>
      </c>
      <c r="J17" s="346">
        <f t="shared" si="2"/>
        <v>7150000</v>
      </c>
    </row>
    <row r="18" spans="2:10" x14ac:dyDescent="0.25">
      <c r="C18" s="345"/>
      <c r="D18" s="345"/>
      <c r="E18" s="346"/>
      <c r="F18" s="346"/>
      <c r="G18" s="346"/>
      <c r="H18" s="346"/>
      <c r="J18" s="3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6. Rate Simulation</vt:lpstr>
      <vt:lpstr>7. Rate Strategy</vt:lpstr>
      <vt:lpstr>Sheet2</vt:lpstr>
      <vt:lpstr>tactical</vt:lpstr>
      <vt:lpstr>Sheet1</vt:lpstr>
      <vt:lpstr>Owner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Anvaya Bali</dc:creator>
  <cp:keywords/>
  <dc:description/>
  <cp:lastModifiedBy>The Anvaya Bali</cp:lastModifiedBy>
  <cp:revision/>
  <dcterms:created xsi:type="dcterms:W3CDTF">2023-10-13T07:07:14Z</dcterms:created>
  <dcterms:modified xsi:type="dcterms:W3CDTF">2026-04-17T03:17:13Z</dcterms:modified>
  <cp:category/>
  <cp:contentStatus/>
</cp:coreProperties>
</file>